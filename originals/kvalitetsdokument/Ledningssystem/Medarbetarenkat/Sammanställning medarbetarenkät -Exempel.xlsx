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codeName="ThisWorkbook" defaultThemeVersion="166925"/>
  <mc:AlternateContent xmlns:mc="http://schemas.openxmlformats.org/markup-compatibility/2006">
    <mc:Choice Requires="x15">
      <x15ac:absPath xmlns:x15ac="http://schemas.microsoft.com/office/spreadsheetml/2010/11/ac" url="C:\Users\donan\Desktop\Upplagde och kontrollerade\"/>
    </mc:Choice>
  </mc:AlternateContent>
  <xr:revisionPtr revIDLastSave="0" documentId="13_ncr:1_{28CAE016-F6E3-4C0B-A609-2D0974C861A1}" xr6:coauthVersionLast="47" xr6:coauthVersionMax="47" xr10:uidLastSave="{00000000-0000-0000-0000-000000000000}"/>
  <bookViews>
    <workbookView xWindow="28680" yWindow="-120" windowWidth="29040" windowHeight="15840" xr2:uid="{00000000-000D-0000-FFFF-FFFF00000000}"/>
  </bookViews>
  <sheets>
    <sheet name="Inkomna svar" sheetId="1" r:id="rId1"/>
    <sheet name="Sammanställning" sheetId="3" r:id="rId2"/>
    <sheet name="Info"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21" i="1" l="1"/>
  <c r="K21" i="1" s="1"/>
  <c r="J22" i="1"/>
  <c r="K22" i="1" s="1"/>
  <c r="J23" i="1"/>
  <c r="K23" i="1" s="1"/>
  <c r="J24" i="1"/>
  <c r="K24" i="1" s="1"/>
  <c r="J25" i="1"/>
  <c r="K25" i="1" s="1"/>
  <c r="J26" i="1"/>
  <c r="K26" i="1" s="1"/>
  <c r="J29" i="1"/>
  <c r="K29" i="1" s="1"/>
  <c r="J30" i="1"/>
  <c r="K30" i="1" s="1"/>
  <c r="J31" i="1"/>
  <c r="K31" i="1" s="1"/>
  <c r="J34" i="1"/>
  <c r="K34" i="1" s="1"/>
  <c r="J35" i="1"/>
  <c r="K35" i="1" s="1"/>
  <c r="J36" i="1"/>
  <c r="K36" i="1" s="1"/>
  <c r="J37" i="1"/>
  <c r="K37" i="1" s="1"/>
  <c r="J38" i="1"/>
  <c r="K38" i="1" s="1"/>
  <c r="J39" i="1"/>
  <c r="K39" i="1" s="1"/>
  <c r="J42" i="1"/>
  <c r="K42" i="1" s="1"/>
  <c r="J43" i="1"/>
  <c r="K43" i="1" s="1"/>
  <c r="J44" i="1"/>
  <c r="K44" i="1" s="1"/>
  <c r="J45" i="1"/>
  <c r="K45" i="1" s="1"/>
  <c r="J46" i="1"/>
  <c r="K46" i="1" s="1"/>
  <c r="J47" i="1"/>
  <c r="K47" i="1" s="1"/>
  <c r="J50" i="1"/>
  <c r="K50" i="1" s="1"/>
  <c r="J51" i="1"/>
  <c r="K51" i="1" s="1"/>
  <c r="J54" i="1"/>
  <c r="K54" i="1" s="1"/>
  <c r="J55" i="1"/>
  <c r="K55" i="1" s="1"/>
  <c r="J56" i="1"/>
  <c r="K56" i="1" s="1"/>
  <c r="J57" i="1"/>
  <c r="K57" i="1" s="1"/>
  <c r="J58" i="1"/>
  <c r="K58" i="1" s="1"/>
  <c r="J59" i="1"/>
  <c r="K59" i="1" s="1"/>
  <c r="J60" i="1"/>
  <c r="K60" i="1" s="1"/>
  <c r="J61" i="1"/>
  <c r="K61" i="1" s="1"/>
  <c r="J62" i="1"/>
  <c r="K62" i="1" s="1"/>
  <c r="J65" i="1"/>
  <c r="K65" i="1" s="1"/>
  <c r="J66" i="1"/>
  <c r="K66" i="1" s="1"/>
  <c r="J67" i="1"/>
  <c r="K67" i="1" s="1"/>
  <c r="J13" i="1"/>
  <c r="K13" i="1" s="1"/>
  <c r="J14" i="1"/>
  <c r="K14" i="1" s="1"/>
  <c r="J15" i="1"/>
  <c r="K15" i="1" s="1"/>
  <c r="J16" i="1"/>
  <c r="K16" i="1" s="1"/>
  <c r="J17" i="1"/>
  <c r="K17" i="1" s="1"/>
  <c r="J18" i="1"/>
  <c r="K18" i="1" s="1"/>
  <c r="J10" i="1"/>
  <c r="K10" i="1" s="1"/>
  <c r="J9" i="1"/>
  <c r="K9" i="1" s="1"/>
  <c r="J8" i="1"/>
  <c r="K8" i="1" s="1"/>
  <c r="J7" i="1"/>
  <c r="K7" i="1" s="1"/>
  <c r="J6" i="1"/>
  <c r="K6" i="1" s="1"/>
  <c r="J5" i="1"/>
  <c r="K5" i="1" s="1"/>
  <c r="J4" i="1"/>
  <c r="K4" i="1" s="1"/>
  <c r="K3" i="1"/>
  <c r="K53" i="1" l="1"/>
  <c r="B9" i="3" s="1"/>
  <c r="K64" i="1"/>
  <c r="B10" i="3" s="1"/>
  <c r="K33" i="1"/>
  <c r="B6" i="3" s="1"/>
  <c r="K20" i="1"/>
  <c r="B4" i="3" s="1"/>
  <c r="K28" i="1"/>
  <c r="B5" i="3" s="1"/>
  <c r="K2" i="1"/>
  <c r="B2" i="3" s="1"/>
  <c r="K12" i="1"/>
  <c r="B3" i="3" s="1"/>
  <c r="K41" i="1"/>
  <c r="B7" i="3" s="1"/>
  <c r="K49" i="1" l="1"/>
  <c r="B8" i="3" s="1"/>
  <c r="B12" i="3"/>
</calcChain>
</file>

<file path=xl/sharedStrings.xml><?xml version="1.0" encoding="utf-8"?>
<sst xmlns="http://schemas.openxmlformats.org/spreadsheetml/2006/main" count="90" uniqueCount="81">
  <si>
    <t>Jag känner mig glad på väg till arbetet</t>
  </si>
  <si>
    <t>Jag trivs med mina arbetskamrater</t>
  </si>
  <si>
    <t>Trivsel</t>
  </si>
  <si>
    <t>Jag har ett intressant och stimulerande arbete</t>
  </si>
  <si>
    <t>Jag vet vad som förväntas av mig</t>
  </si>
  <si>
    <t>Jag har material/verktyg som krävs för att jag ska kunna göra ett bra jobb</t>
  </si>
  <si>
    <t>Dagligen får jag möjlighet att göra det som jag är bäst på</t>
  </si>
  <si>
    <t>Någon på jobbet bryr sig om mig som person och hur jag mår</t>
  </si>
  <si>
    <t>Under de senaste veckorna har jag fått bekräftelse eller beröm för mitt arbete</t>
  </si>
  <si>
    <t>Delaktighet</t>
  </si>
  <si>
    <t>Vi uppmuntras att vara delaktiga i frågor som rör arbetsplatsen</t>
  </si>
  <si>
    <t>Öppna, fria diskussioner kring arbetet kan föras på arbetsplatsen</t>
  </si>
  <si>
    <t>Man lyssnar på mig och man tar till sig mina synpunkter och idéer</t>
  </si>
  <si>
    <t>Jag kan påverka innehållet i mina arbetsuppgifter</t>
  </si>
  <si>
    <t>Företagets mål får mig att känna att mitt arbete är viktigt</t>
  </si>
  <si>
    <t>Jag har inflytande över hur min arbetstid förläggs</t>
  </si>
  <si>
    <t>Arbetsledning</t>
  </si>
  <si>
    <t>Min relation och mitt samarbete med närmaste chefen är god</t>
  </si>
  <si>
    <t>Jag får återkoppling av min chef på det arbete jag utför</t>
  </si>
  <si>
    <t>Vi uppmuntras av vår chef att förbättra våra resultat</t>
  </si>
  <si>
    <t>Chefen har förmågan att få oss att arbeta för att nå gemensamma mål</t>
  </si>
  <si>
    <t>Min chef är positiv till utveckling och nytänkande</t>
  </si>
  <si>
    <t>Jag får sällan avbryta mina arbetsuppgifter för att annan arbetsuppgift måste prioriteras</t>
  </si>
  <si>
    <t>Information</t>
  </si>
  <si>
    <t>Jag får den information jag behöver för att kunna utföra mitt arbete</t>
  </si>
  <si>
    <t>Jag tycker att jag får tillräckligt med information om förändringar inom verksamheten och företagets utveckling etc</t>
  </si>
  <si>
    <t>Jag tycker att vi har en bra mötesstruktur med bra mötesintervall</t>
  </si>
  <si>
    <t>Arbetsbelastning och fysisk arbetsmiljö</t>
  </si>
  <si>
    <t>Jag har en god balans mellan arbete, fritid och familjeliv</t>
  </si>
  <si>
    <t>Jag kan hantera stress som ibland uppkommer i arbetet</t>
  </si>
  <si>
    <t>Jag har möjlighet till stöd och hjälp vid hög arbetsbelastning</t>
  </si>
  <si>
    <t>Jag har de hjälpmedel och den skyddsutrustning som jag behöver för att utföra mitt arbete</t>
  </si>
  <si>
    <t>Jag upplever att de riskbedömningar som görs på arbetsmiljön är tillräckligt omfattande</t>
  </si>
  <si>
    <t>Jag upplever att företaget förespråkar vikten av friskvårdsaktiviteter</t>
  </si>
  <si>
    <t>Utvecklingsmöjligheter och kompetensutveckling</t>
  </si>
  <si>
    <t>Min kompetens tas tillvara på arbetsplatsen</t>
  </si>
  <si>
    <t>På arbetsplatsen uppmuntrar man min utveckling</t>
  </si>
  <si>
    <t>Under senaste året har jag haft möjlighet att lära mig något nytt och utvecklas i mitt arbete</t>
  </si>
  <si>
    <t>Under det senaste året har jag diskuterat min utveckling med någon på arbetet</t>
  </si>
  <si>
    <t>Jag upplever att vi följer upp kompetensutvecklingsinsatser på arbetsplatsen</t>
  </si>
  <si>
    <t>Jag tycker att jag fick en god introduktionsutbildning när jag anställdes</t>
  </si>
  <si>
    <t>Mobbning, trakasserier</t>
  </si>
  <si>
    <t>Jag upplever att trakasserier och mobbing inte förekommer på arbetsplatsen</t>
  </si>
  <si>
    <t>Det framgår tydligt i företagets riktlinjer att trakasserier, diskriminering och kränkande särbehandling inte tolereras på arbetsplatsen</t>
  </si>
  <si>
    <t>Förbättringsarbete</t>
  </si>
  <si>
    <t>Jag kan ge ex. på hur vi förbättrat vårt sätt att arbeta</t>
  </si>
  <si>
    <t>Jag känner till (företagets namn):s värdegrund</t>
  </si>
  <si>
    <t>Jag kan ge exempel på hur vi arbetar enligt vår värdegrund</t>
  </si>
  <si>
    <t>Jag känner till vår kvalitets- och miljöpolicy</t>
  </si>
  <si>
    <t>Jag kan ge exempel på hur vi arbetar enligt vår kvalitets- och miljöpolicy</t>
  </si>
  <si>
    <t>Jag känner till företagets målsättning</t>
  </si>
  <si>
    <t>Jag kan ge exempel på hur jag arbetar för att hjälpa till att uppnå målen</t>
  </si>
  <si>
    <t>Jag känner till hur jag ska rapportera en avvikelse</t>
  </si>
  <si>
    <t>När jag rapporterat en avvikelse får jag längre fram ngn form av återkoppling</t>
  </si>
  <si>
    <t>Helhetsbedömning</t>
  </si>
  <si>
    <t>Jag känner stolthet över mitt arbete och min arbetsplats</t>
  </si>
  <si>
    <t>Jag skulle rekommendera en vän att söka jobb hos oss</t>
  </si>
  <si>
    <t>Jag är nöjd med min arbetssituation (helhetsbedömning)</t>
  </si>
  <si>
    <t>Enkät 1</t>
  </si>
  <si>
    <t>Enkät 2</t>
  </si>
  <si>
    <t>Enkät 3</t>
  </si>
  <si>
    <t>Enkät 4</t>
  </si>
  <si>
    <t>Enkät 5</t>
  </si>
  <si>
    <t>Enkät 6</t>
  </si>
  <si>
    <t>Enkät 7</t>
  </si>
  <si>
    <t>Enkät 8</t>
  </si>
  <si>
    <t>Värde</t>
  </si>
  <si>
    <t>Gen. värde</t>
  </si>
  <si>
    <t>Gen. %</t>
  </si>
  <si>
    <t>Frågeområde</t>
  </si>
  <si>
    <t>Summering</t>
  </si>
  <si>
    <t>Frågeområden</t>
  </si>
  <si>
    <t>Information om Analys och bedömningsskalor</t>
  </si>
  <si>
    <t>Frågeområden och frågor</t>
  </si>
  <si>
    <t>Helhetsbedömning (baseras på NMI-frågor)</t>
  </si>
  <si>
    <t>Värden under 64,5% = mycket missnöjd och måste förbättras</t>
  </si>
  <si>
    <t>Värden under 74,5% = lite missnöjd och bör förbättras</t>
  </si>
  <si>
    <t>Värden över 74,5% = tillräckligt nöjd eller mycket nöjd</t>
  </si>
  <si>
    <t>Värden under 65% = mycket missnöjd och måste förbättras</t>
  </si>
  <si>
    <t>Värden under 80% = lite missnöjd och bör förbättras</t>
  </si>
  <si>
    <t>Värden över 80% = tillräckligt nöjd eller mycket nöjd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</si>
</sst>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b/>
      <sz val="15"/>
      <color theme="3"/>
      <name val="Calibri"/>
      <family val="2"/>
      <scheme val="minor"/>
    </font>
    <font>
      <b/>
      <sz val="13"/>
      <color theme="3"/>
      <name val="Calibri"/>
      <family val="2"/>
      <scheme val="minor"/>
    </font>
    <font>
      <sz val="11"/>
      <color rgb="FF9C0006"/>
      <name val="Calibri"/>
      <family val="2"/>
      <scheme val="minor"/>
    </font>
    <font>
      <sz val="11"/>
      <color rgb="FF9C6500"/>
      <name val="Calibri"/>
      <family val="2"/>
      <scheme val="minor"/>
    </font>
    <font>
      <sz val="11"/>
      <name val="Calibri"/>
      <family val="2"/>
      <scheme val="minor"/>
    </font>
    <font>
      <b/>
      <sz val="13"/>
      <name val="Calibri"/>
      <family val="2"/>
      <scheme val="minor"/>
    </font>
    <font>
      <b/>
      <sz val="11"/>
      <name val="Calibri"/>
      <family val="2"/>
      <scheme val="minor"/>
    </font>
    <font>
      <sz val="13"/>
      <name val="Calibri"/>
      <family val="2"/>
      <scheme val="minor"/>
    </font>
  </fonts>
  <fills count="5">
    <fill>
      <patternFill patternType="none"/>
    </fill>
    <fill>
      <patternFill patternType="gray125"/>
    </fill>
    <fill>
      <patternFill patternType="solid">
        <fgColor rgb="FFFFC7CE"/>
      </patternFill>
    </fill>
    <fill>
      <patternFill patternType="solid">
        <fgColor rgb="FFFFEB9C"/>
      </patternFill>
    </fill>
    <fill>
      <patternFill patternType="solid">
        <fgColor theme="0"/>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style="thin">
        <color indexed="64"/>
      </top>
      <bottom/>
      <diagonal/>
    </border>
    <border>
      <left/>
      <right/>
      <top/>
      <bottom style="thin">
        <color indexed="64"/>
      </bottom>
      <diagonal/>
    </border>
  </borders>
  <cellStyleXfs count="6">
    <xf numFmtId="0" fontId="0" fillId="0" borderId="0"/>
    <xf numFmtId="9" fontId="1" fillId="0" borderId="0" applyFon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2" borderId="0" applyNumberFormat="0" applyBorder="0" applyAlignment="0" applyProtection="0"/>
    <xf numFmtId="0" fontId="6" fillId="3" borderId="0" applyNumberFormat="0" applyBorder="0" applyAlignment="0" applyProtection="0"/>
  </cellStyleXfs>
  <cellXfs count="31">
    <xf numFmtId="0" fontId="0" fillId="0" borderId="0" xfId="0"/>
    <xf numFmtId="0" fontId="2" fillId="0" borderId="0" xfId="0" applyFont="1"/>
    <xf numFmtId="0" fontId="4" fillId="0" borderId="2" xfId="3"/>
    <xf numFmtId="0" fontId="3" fillId="0" borderId="1" xfId="2"/>
    <xf numFmtId="0" fontId="0" fillId="4" borderId="0" xfId="0" applyFill="1"/>
    <xf numFmtId="0" fontId="2" fillId="4" borderId="0" xfId="0" applyFont="1" applyFill="1"/>
    <xf numFmtId="9" fontId="0" fillId="4" borderId="0" xfId="0" applyNumberFormat="1" applyFill="1"/>
    <xf numFmtId="0" fontId="2" fillId="4" borderId="3" xfId="0" applyFont="1" applyFill="1" applyBorder="1" applyAlignment="1">
      <alignment wrapText="1"/>
    </xf>
    <xf numFmtId="0" fontId="4" fillId="4" borderId="2" xfId="3" applyFill="1"/>
    <xf numFmtId="0" fontId="7" fillId="0" borderId="0" xfId="5" applyFont="1" applyFill="1" applyAlignment="1">
      <alignment wrapText="1"/>
    </xf>
    <xf numFmtId="0" fontId="7" fillId="0" borderId="0" xfId="5" applyFont="1" applyFill="1"/>
    <xf numFmtId="9" fontId="7" fillId="0" borderId="0" xfId="5" applyNumberFormat="1" applyFont="1" applyFill="1"/>
    <xf numFmtId="0" fontId="7" fillId="0" borderId="0" xfId="4" applyFont="1" applyFill="1" applyAlignment="1">
      <alignment wrapText="1"/>
    </xf>
    <xf numFmtId="0" fontId="7" fillId="0" borderId="0" xfId="4" applyFont="1" applyFill="1"/>
    <xf numFmtId="9" fontId="7" fillId="0" borderId="0" xfId="4" applyNumberFormat="1" applyFont="1" applyFill="1"/>
    <xf numFmtId="0" fontId="7" fillId="0" borderId="0" xfId="0" applyFont="1"/>
    <xf numFmtId="0" fontId="8" fillId="0" borderId="0" xfId="0" applyFont="1" applyAlignment="1">
      <alignment wrapText="1"/>
    </xf>
    <xf numFmtId="9" fontId="7" fillId="0" borderId="0" xfId="1" applyFont="1" applyFill="1"/>
    <xf numFmtId="0" fontId="7" fillId="0" borderId="0" xfId="0" applyFont="1" applyAlignment="1">
      <alignment wrapText="1"/>
    </xf>
    <xf numFmtId="0" fontId="9" fillId="0" borderId="0" xfId="0" applyFont="1"/>
    <xf numFmtId="9" fontId="9" fillId="0" borderId="0" xfId="1" applyFont="1" applyFill="1"/>
    <xf numFmtId="0" fontId="10" fillId="0" borderId="0" xfId="0" applyFont="1"/>
    <xf numFmtId="0" fontId="0" fillId="4" borderId="0" xfId="0" applyFill="1" applyAlignment="1">
      <alignment vertical="top" wrapText="1"/>
    </xf>
    <xf numFmtId="9" fontId="1" fillId="4" borderId="0" xfId="1" applyFont="1" applyFill="1" applyAlignment="1">
      <alignment vertical="top"/>
    </xf>
    <xf numFmtId="9" fontId="0" fillId="4" borderId="0" xfId="0" applyNumberFormat="1" applyFill="1" applyAlignment="1">
      <alignment vertical="top"/>
    </xf>
    <xf numFmtId="0" fontId="7" fillId="4" borderId="0" xfId="5" applyFont="1" applyFill="1" applyAlignment="1">
      <alignment vertical="top" wrapText="1"/>
    </xf>
    <xf numFmtId="9" fontId="7" fillId="4" borderId="0" xfId="5" applyNumberFormat="1" applyFont="1" applyFill="1" applyAlignment="1">
      <alignment vertical="top"/>
    </xf>
    <xf numFmtId="0" fontId="7" fillId="4" borderId="0" xfId="0" applyFont="1" applyFill="1" applyAlignment="1">
      <alignment vertical="top" wrapText="1"/>
    </xf>
    <xf numFmtId="9" fontId="7" fillId="4" borderId="0" xfId="0" applyNumberFormat="1" applyFont="1" applyFill="1" applyAlignment="1">
      <alignment vertical="top"/>
    </xf>
    <xf numFmtId="0" fontId="7" fillId="4" borderId="0" xfId="4" applyFont="1" applyFill="1" applyAlignment="1">
      <alignment vertical="top" wrapText="1"/>
    </xf>
    <xf numFmtId="0" fontId="0" fillId="0" borderId="4" xfId="0" applyBorder="1"/>
  </cellXfs>
  <cellStyles count="6">
    <cellStyle name="Dålig" xfId="4" builtinId="27"/>
    <cellStyle name="Neutral" xfId="5" builtinId="28"/>
    <cellStyle name="Normal" xfId="0" builtinId="0"/>
    <cellStyle name="Procent" xfId="1" builtinId="5"/>
    <cellStyle name="Rubrik 1" xfId="2" builtinId="16"/>
    <cellStyle name="Rubrik 2" xfId="3" builtinId="17"/>
  </cellStyles>
  <dxfs count="8">
    <dxf>
      <fill>
        <patternFill>
          <bgColor theme="0"/>
        </patternFill>
      </fill>
    </dxf>
    <dxf>
      <font>
        <color rgb="FF9C6500"/>
      </font>
      <fill>
        <patternFill>
          <bgColor rgb="FFFFEB9C"/>
        </patternFill>
      </fill>
    </dxf>
    <dxf>
      <font>
        <color rgb="FF9C0006"/>
      </font>
      <fill>
        <patternFill patternType="solid">
          <bgColor rgb="FFFFC7CE"/>
        </patternFill>
      </fill>
    </dxf>
    <dxf>
      <fill>
        <patternFill>
          <fgColor auto="1"/>
          <bgColor theme="0"/>
        </patternFill>
      </fill>
    </dxf>
    <dxf>
      <font>
        <color auto="1"/>
      </font>
      <fill>
        <patternFill patternType="none">
          <bgColor auto="1"/>
        </patternFill>
      </fill>
    </dxf>
    <dxf>
      <font>
        <color rgb="FF9C6500"/>
      </font>
      <fill>
        <patternFill patternType="solid">
          <bgColor rgb="FFFFEB9C"/>
        </patternFill>
      </fill>
    </dxf>
    <dxf>
      <font>
        <color rgb="FF9C0006"/>
      </font>
      <fill>
        <patternFill>
          <bgColor rgb="FFFFC7CE"/>
        </patternFill>
      </fill>
    </dxf>
    <dxf>
      <fill>
        <patternFill patternType="none">
          <bgColor auto="1"/>
        </patternFill>
      </fill>
    </dxf>
  </dxfs>
  <tableStyles count="0" defaultTableStyle="TableStyleMedium2" defaultPivotStyle="PivotStyleLight16"/>
  <colors>
    <mruColors>
      <color rgb="FF9C6500"/>
      <color rgb="FFFFEB9C"/>
      <color rgb="FFFFC7CE"/>
      <color rgb="FF9C0006"/>
      <color rgb="FFFFCA21"/>
      <color rgb="FFFA7A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9525</xdr:colOff>
      <xdr:row>0</xdr:row>
      <xdr:rowOff>180975</xdr:rowOff>
    </xdr:from>
    <xdr:to>
      <xdr:col>10</xdr:col>
      <xdr:colOff>266700</xdr:colOff>
      <xdr:row>21</xdr:row>
      <xdr:rowOff>123825</xdr:rowOff>
    </xdr:to>
    <xdr:sp macro="" textlink="">
      <xdr:nvSpPr>
        <xdr:cNvPr id="2" name="textruta 1">
          <a:extLst>
            <a:ext uri="{FF2B5EF4-FFF2-40B4-BE49-F238E27FC236}">
              <a16:creationId xmlns:a16="http://schemas.microsoft.com/office/drawing/2014/main" id="{00000000-0008-0000-0200-000002000000}"/>
            </a:ext>
          </a:extLst>
        </xdr:cNvPr>
        <xdr:cNvSpPr txBox="1"/>
      </xdr:nvSpPr>
      <xdr:spPr>
        <a:xfrm>
          <a:off x="4838700" y="180975"/>
          <a:ext cx="5133975" cy="411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400" b="1" u="sng">
              <a:latin typeface="+mn-lt"/>
            </a:rPr>
            <a:t>Förklaring</a:t>
          </a:r>
          <a:endParaRPr lang="sv-SE" sz="1400" b="1" u="sng" baseline="0">
            <a:latin typeface="+mn-lt"/>
          </a:endParaRPr>
        </a:p>
        <a:p>
          <a:endParaRPr lang="sv-SE" sz="1100"/>
        </a:p>
        <a:p>
          <a:r>
            <a:rPr lang="sv-SE" sz="1100"/>
            <a:t>Forskning inom området är något</a:t>
          </a:r>
          <a:r>
            <a:rPr lang="sv-SE" sz="1100" baseline="0"/>
            <a:t> som ständigt pågår och dessa slutsatser och beskrivningar kan därför behöva ändras över tid.</a:t>
          </a:r>
        </a:p>
        <a:p>
          <a:endParaRPr lang="sv-SE" sz="1100" baseline="0"/>
        </a:p>
        <a:p>
          <a:r>
            <a:rPr lang="sv-SE" sz="1100" baseline="0"/>
            <a:t>Kortfattat är detta vad man vet idag:</a:t>
          </a:r>
        </a:p>
        <a:p>
          <a:endParaRPr lang="sv-SE" sz="1100" baseline="0"/>
        </a:p>
        <a:p>
          <a:r>
            <a:rPr lang="sv-SE" sz="1100" baseline="0"/>
            <a:t>Så länge medarbetaren inte är uppenbart missnöjd, så betyder inte en ökad tillfredsställelse att man blir effektivare. Däremot om man är missnöjd, så kan man tendera att vara mindre effektiv.</a:t>
          </a:r>
        </a:p>
        <a:p>
          <a:endParaRPr lang="sv-SE" sz="1100" baseline="0"/>
        </a:p>
        <a:p>
          <a:r>
            <a:rPr lang="sv-SE" sz="1100" baseline="0"/>
            <a:t>Därför är vår uträkning utformad så att man uppmanas arbeta med de frågor där medarbetarna är missnöjda överlag så att man får medarbetarna till att vara "nöjda" eller "mycket nöjda". </a:t>
          </a:r>
        </a:p>
        <a:p>
          <a:endParaRPr lang="sv-SE" sz="1100" baseline="0"/>
        </a:p>
        <a:p>
          <a:r>
            <a:rPr lang="sv-SE" sz="1100" baseline="0"/>
            <a:t>Vi har satt dessa värden till allt under 74,5% bör förbättras men att man bör prioritera allt under 64,5%.</a:t>
          </a:r>
        </a:p>
        <a:p>
          <a:endParaRPr lang="sv-SE" sz="1100" baseline="0"/>
        </a:p>
        <a:p>
          <a:r>
            <a:rPr lang="sv-SE" sz="1100" baseline="0"/>
            <a:t>Värden över 74,5% behöver man inte nödvändigtvis förbättra, eftersom det inte är säkert att medarbetarna presterar bättre bara för att dessa värden förbättras. Däremot kan ni själva avgöra om det finns frågor som ni skulle kunna förbättra även om effektiviteten inte nödvändigtvis går upp.</a:t>
          </a:r>
        </a:p>
      </xdr:txBody>
    </xdr:sp>
    <xdr:clientData/>
  </xdr:twoCellAnchor>
</xdr:wsDr>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K72"/>
  <sheetViews>
    <sheetView tabSelected="1" workbookViewId="0">
      <pane ySplit="1" topLeftCell="A50" activePane="bottomLeft" state="frozen"/>
      <selection pane="bottomLeft" activeCell="A49" sqref="A49"/>
    </sheetView>
  </sheetViews>
  <sheetFormatPr defaultRowHeight="15" x14ac:dyDescent="0.25"/>
  <cols>
    <col min="1" max="1" width="36.5703125" style="15" bestFit="1" customWidth="1"/>
    <col min="2" max="9" width="9.140625" style="15"/>
    <col min="10" max="10" width="11.140625" style="15" customWidth="1"/>
    <col min="11" max="11" width="9.140625" style="17"/>
    <col min="12" max="16384" width="9.140625" style="15"/>
  </cols>
  <sheetData>
    <row r="1" spans="1:11" s="19" customFormat="1" x14ac:dyDescent="0.25">
      <c r="A1" s="19" t="s">
        <v>73</v>
      </c>
      <c r="B1" s="19" t="s">
        <v>58</v>
      </c>
      <c r="C1" s="19" t="s">
        <v>59</v>
      </c>
      <c r="D1" s="19" t="s">
        <v>60</v>
      </c>
      <c r="E1" s="19" t="s">
        <v>61</v>
      </c>
      <c r="F1" s="19" t="s">
        <v>62</v>
      </c>
      <c r="G1" s="19" t="s">
        <v>63</v>
      </c>
      <c r="H1" s="19" t="s">
        <v>64</v>
      </c>
      <c r="I1" s="19" t="s">
        <v>65</v>
      </c>
      <c r="J1" s="19" t="s">
        <v>67</v>
      </c>
      <c r="K1" s="20" t="s">
        <v>68</v>
      </c>
    </row>
    <row r="2" spans="1:11" s="21" customFormat="1" ht="17.25" x14ac:dyDescent="0.3">
      <c r="A2" s="16" t="s">
        <v>2</v>
      </c>
      <c r="K2" s="17">
        <f>AVERAGE(K3:K10)</f>
        <v>0.8203125</v>
      </c>
    </row>
    <row r="3" spans="1:11" x14ac:dyDescent="0.25">
      <c r="A3" s="18" t="s">
        <v>0</v>
      </c>
      <c r="B3" s="15">
        <v>6</v>
      </c>
      <c r="C3" s="15">
        <v>6</v>
      </c>
      <c r="D3" s="15">
        <v>6</v>
      </c>
      <c r="E3" s="15">
        <v>6</v>
      </c>
      <c r="F3" s="15">
        <v>6</v>
      </c>
      <c r="G3" s="15">
        <v>6</v>
      </c>
      <c r="H3" s="15">
        <v>6</v>
      </c>
      <c r="I3" s="15">
        <v>6</v>
      </c>
      <c r="J3" s="15">
        <f t="shared" ref="J3:J10" si="0">AVERAGE(B3:I3)</f>
        <v>6</v>
      </c>
      <c r="K3" s="17">
        <f>SUM(J3/6)</f>
        <v>1</v>
      </c>
    </row>
    <row r="4" spans="1:11" x14ac:dyDescent="0.25">
      <c r="A4" s="15" t="s">
        <v>1</v>
      </c>
      <c r="B4" s="15">
        <v>4</v>
      </c>
      <c r="C4" s="15">
        <v>5</v>
      </c>
      <c r="D4" s="15">
        <v>6</v>
      </c>
      <c r="E4" s="15">
        <v>5</v>
      </c>
      <c r="F4" s="15">
        <v>6</v>
      </c>
      <c r="G4" s="15">
        <v>6</v>
      </c>
      <c r="H4" s="15">
        <v>5</v>
      </c>
      <c r="I4" s="15">
        <v>6</v>
      </c>
      <c r="J4" s="15">
        <f t="shared" si="0"/>
        <v>5.375</v>
      </c>
      <c r="K4" s="17">
        <f>SUM(J4/6)</f>
        <v>0.89583333333333337</v>
      </c>
    </row>
    <row r="5" spans="1:11" ht="30" x14ac:dyDescent="0.25">
      <c r="A5" s="9" t="s">
        <v>3</v>
      </c>
      <c r="B5" s="10">
        <v>4</v>
      </c>
      <c r="C5" s="10">
        <v>4</v>
      </c>
      <c r="D5" s="10">
        <v>6</v>
      </c>
      <c r="E5" s="10">
        <v>4</v>
      </c>
      <c r="F5" s="10">
        <v>6</v>
      </c>
      <c r="G5" s="10">
        <v>2</v>
      </c>
      <c r="H5" s="10">
        <v>4</v>
      </c>
      <c r="I5" s="10">
        <v>4</v>
      </c>
      <c r="J5" s="10">
        <f t="shared" si="0"/>
        <v>4.25</v>
      </c>
      <c r="K5" s="11">
        <f t="shared" ref="K5:K10" si="1">SUM(J5/6)</f>
        <v>0.70833333333333337</v>
      </c>
    </row>
    <row r="6" spans="1:11" x14ac:dyDescent="0.25">
      <c r="A6" s="18" t="s">
        <v>4</v>
      </c>
      <c r="B6" s="15">
        <v>5</v>
      </c>
      <c r="C6" s="15">
        <v>5</v>
      </c>
      <c r="D6" s="15">
        <v>6</v>
      </c>
      <c r="E6" s="15">
        <v>4</v>
      </c>
      <c r="F6" s="15">
        <v>5</v>
      </c>
      <c r="G6" s="15">
        <v>5</v>
      </c>
      <c r="H6" s="15">
        <v>4</v>
      </c>
      <c r="I6" s="15">
        <v>5</v>
      </c>
      <c r="J6" s="15">
        <f t="shared" si="0"/>
        <v>4.875</v>
      </c>
      <c r="K6" s="17">
        <f t="shared" si="1"/>
        <v>0.8125</v>
      </c>
    </row>
    <row r="7" spans="1:11" ht="30" x14ac:dyDescent="0.25">
      <c r="A7" s="18" t="s">
        <v>5</v>
      </c>
      <c r="B7" s="15">
        <v>3</v>
      </c>
      <c r="C7" s="15">
        <v>4</v>
      </c>
      <c r="D7" s="15">
        <v>6</v>
      </c>
      <c r="E7" s="15">
        <v>5</v>
      </c>
      <c r="F7" s="15">
        <v>6</v>
      </c>
      <c r="G7" s="15">
        <v>5</v>
      </c>
      <c r="H7" s="15">
        <v>3</v>
      </c>
      <c r="I7" s="15">
        <v>6</v>
      </c>
      <c r="J7" s="15">
        <f t="shared" si="0"/>
        <v>4.75</v>
      </c>
      <c r="K7" s="17">
        <f t="shared" si="1"/>
        <v>0.79166666666666663</v>
      </c>
    </row>
    <row r="8" spans="1:11" ht="30" x14ac:dyDescent="0.25">
      <c r="A8" s="18" t="s">
        <v>6</v>
      </c>
      <c r="B8" s="15">
        <v>4</v>
      </c>
      <c r="C8" s="15">
        <v>5</v>
      </c>
      <c r="D8" s="15">
        <v>6</v>
      </c>
      <c r="E8" s="15">
        <v>5</v>
      </c>
      <c r="F8" s="15">
        <v>5</v>
      </c>
      <c r="G8" s="15">
        <v>4</v>
      </c>
      <c r="H8" s="15">
        <v>4</v>
      </c>
      <c r="I8" s="15">
        <v>4</v>
      </c>
      <c r="J8" s="15">
        <f t="shared" si="0"/>
        <v>4.625</v>
      </c>
      <c r="K8" s="17">
        <f t="shared" si="1"/>
        <v>0.77083333333333337</v>
      </c>
    </row>
    <row r="9" spans="1:11" ht="30" x14ac:dyDescent="0.25">
      <c r="A9" s="18" t="s">
        <v>7</v>
      </c>
      <c r="B9" s="15">
        <v>4</v>
      </c>
      <c r="C9" s="15">
        <v>5</v>
      </c>
      <c r="D9" s="15">
        <v>6</v>
      </c>
      <c r="E9" s="15">
        <v>5</v>
      </c>
      <c r="F9" s="15">
        <v>5</v>
      </c>
      <c r="G9" s="15">
        <v>6</v>
      </c>
      <c r="H9" s="15">
        <v>3</v>
      </c>
      <c r="I9" s="15">
        <v>5</v>
      </c>
      <c r="J9" s="15">
        <f t="shared" si="0"/>
        <v>4.875</v>
      </c>
      <c r="K9" s="17">
        <f t="shared" si="1"/>
        <v>0.8125</v>
      </c>
    </row>
    <row r="10" spans="1:11" ht="30" x14ac:dyDescent="0.25">
      <c r="A10" s="18" t="s">
        <v>8</v>
      </c>
      <c r="B10" s="15">
        <v>4</v>
      </c>
      <c r="C10" s="15">
        <v>3</v>
      </c>
      <c r="D10" s="15">
        <v>6</v>
      </c>
      <c r="E10" s="15">
        <v>6</v>
      </c>
      <c r="F10" s="15">
        <v>6</v>
      </c>
      <c r="G10" s="15">
        <v>3</v>
      </c>
      <c r="H10" s="15">
        <v>4</v>
      </c>
      <c r="I10" s="15">
        <v>5</v>
      </c>
      <c r="J10" s="15">
        <f t="shared" si="0"/>
        <v>4.625</v>
      </c>
      <c r="K10" s="17">
        <f t="shared" si="1"/>
        <v>0.77083333333333337</v>
      </c>
    </row>
    <row r="12" spans="1:11" ht="17.25" x14ac:dyDescent="0.3">
      <c r="A12" s="16" t="s">
        <v>9</v>
      </c>
      <c r="K12" s="17">
        <f>AVERAGE(K13:K18)</f>
        <v>0.76041666666666685</v>
      </c>
    </row>
    <row r="13" spans="1:11" ht="30" x14ac:dyDescent="0.25">
      <c r="A13" s="9" t="s">
        <v>10</v>
      </c>
      <c r="B13" s="10">
        <v>2</v>
      </c>
      <c r="C13" s="10">
        <v>4</v>
      </c>
      <c r="D13" s="10">
        <v>6</v>
      </c>
      <c r="E13" s="10">
        <v>4</v>
      </c>
      <c r="F13" s="10">
        <v>6</v>
      </c>
      <c r="G13" s="10">
        <v>3</v>
      </c>
      <c r="H13" s="10">
        <v>5</v>
      </c>
      <c r="I13" s="10">
        <v>4</v>
      </c>
      <c r="J13" s="10">
        <f t="shared" ref="J13:J18" si="2">AVERAGE(B13:I13)</f>
        <v>4.25</v>
      </c>
      <c r="K13" s="11">
        <f t="shared" ref="K13:K67" si="3">SUM(J13/6)</f>
        <v>0.70833333333333337</v>
      </c>
    </row>
    <row r="14" spans="1:11" ht="30" x14ac:dyDescent="0.25">
      <c r="A14" s="18" t="s">
        <v>11</v>
      </c>
      <c r="B14" s="15">
        <v>4</v>
      </c>
      <c r="C14" s="15">
        <v>5</v>
      </c>
      <c r="D14" s="15">
        <v>6</v>
      </c>
      <c r="E14" s="15">
        <v>6</v>
      </c>
      <c r="F14" s="15">
        <v>6</v>
      </c>
      <c r="G14" s="15">
        <v>5</v>
      </c>
      <c r="H14" s="15">
        <v>5</v>
      </c>
      <c r="I14" s="15">
        <v>5</v>
      </c>
      <c r="J14" s="15">
        <f t="shared" si="2"/>
        <v>5.25</v>
      </c>
      <c r="K14" s="17">
        <f t="shared" si="3"/>
        <v>0.875</v>
      </c>
    </row>
    <row r="15" spans="1:11" ht="30" x14ac:dyDescent="0.25">
      <c r="A15" s="18" t="s">
        <v>12</v>
      </c>
      <c r="B15" s="15">
        <v>5</v>
      </c>
      <c r="C15" s="15">
        <v>4</v>
      </c>
      <c r="D15" s="15">
        <v>6</v>
      </c>
      <c r="E15" s="15">
        <v>5</v>
      </c>
      <c r="F15" s="15">
        <v>5</v>
      </c>
      <c r="G15" s="15">
        <v>3</v>
      </c>
      <c r="H15" s="15">
        <v>4</v>
      </c>
      <c r="I15" s="15">
        <v>5</v>
      </c>
      <c r="J15" s="15">
        <f t="shared" si="2"/>
        <v>4.625</v>
      </c>
      <c r="K15" s="17">
        <f t="shared" si="3"/>
        <v>0.77083333333333337</v>
      </c>
    </row>
    <row r="16" spans="1:11" ht="30" x14ac:dyDescent="0.25">
      <c r="A16" s="12" t="s">
        <v>13</v>
      </c>
      <c r="B16" s="13">
        <v>2</v>
      </c>
      <c r="C16" s="13">
        <v>3</v>
      </c>
      <c r="D16" s="13">
        <v>6</v>
      </c>
      <c r="E16" s="13">
        <v>4</v>
      </c>
      <c r="F16" s="13">
        <v>5</v>
      </c>
      <c r="G16" s="13">
        <v>4</v>
      </c>
      <c r="H16" s="13">
        <v>3</v>
      </c>
      <c r="I16" s="13">
        <v>4</v>
      </c>
      <c r="J16" s="13">
        <f t="shared" si="2"/>
        <v>3.875</v>
      </c>
      <c r="K16" s="14">
        <f t="shared" si="3"/>
        <v>0.64583333333333337</v>
      </c>
    </row>
    <row r="17" spans="1:11" ht="30" x14ac:dyDescent="0.25">
      <c r="A17" s="18" t="s">
        <v>14</v>
      </c>
      <c r="B17" s="15">
        <v>4</v>
      </c>
      <c r="C17" s="15">
        <v>4</v>
      </c>
      <c r="D17" s="15">
        <v>6</v>
      </c>
      <c r="E17" s="15">
        <v>6</v>
      </c>
      <c r="F17" s="15">
        <v>6</v>
      </c>
      <c r="G17" s="15">
        <v>5</v>
      </c>
      <c r="H17" s="15">
        <v>4</v>
      </c>
      <c r="I17" s="15">
        <v>5</v>
      </c>
      <c r="J17" s="15">
        <f t="shared" si="2"/>
        <v>5</v>
      </c>
      <c r="K17" s="17">
        <f t="shared" si="3"/>
        <v>0.83333333333333337</v>
      </c>
    </row>
    <row r="18" spans="1:11" ht="30" x14ac:dyDescent="0.25">
      <c r="A18" s="9" t="s">
        <v>15</v>
      </c>
      <c r="B18" s="10">
        <v>4</v>
      </c>
      <c r="C18" s="10">
        <v>4</v>
      </c>
      <c r="D18" s="10">
        <v>6</v>
      </c>
      <c r="E18" s="10">
        <v>4</v>
      </c>
      <c r="F18" s="10">
        <v>4</v>
      </c>
      <c r="G18" s="10">
        <v>3</v>
      </c>
      <c r="H18" s="10">
        <v>5</v>
      </c>
      <c r="I18" s="10">
        <v>5</v>
      </c>
      <c r="J18" s="10">
        <f t="shared" si="2"/>
        <v>4.375</v>
      </c>
      <c r="K18" s="11">
        <f t="shared" si="3"/>
        <v>0.72916666666666663</v>
      </c>
    </row>
    <row r="20" spans="1:11" ht="17.25" x14ac:dyDescent="0.3">
      <c r="A20" s="16" t="s">
        <v>16</v>
      </c>
      <c r="K20" s="17">
        <f>AVERAGE(K21:K26)</f>
        <v>0.85069444444444453</v>
      </c>
    </row>
    <row r="21" spans="1:11" ht="30" x14ac:dyDescent="0.25">
      <c r="A21" s="18" t="s">
        <v>17</v>
      </c>
      <c r="B21" s="15">
        <v>5</v>
      </c>
      <c r="C21" s="15">
        <v>5</v>
      </c>
      <c r="D21" s="15">
        <v>6</v>
      </c>
      <c r="E21" s="15">
        <v>6</v>
      </c>
      <c r="F21" s="15">
        <v>6</v>
      </c>
      <c r="G21" s="15">
        <v>6</v>
      </c>
      <c r="H21" s="15">
        <v>5</v>
      </c>
      <c r="I21" s="15">
        <v>5</v>
      </c>
      <c r="J21" s="15">
        <f t="shared" ref="J21:J67" si="4">AVERAGE(B21:I21)</f>
        <v>5.5</v>
      </c>
      <c r="K21" s="17">
        <f t="shared" si="3"/>
        <v>0.91666666666666663</v>
      </c>
    </row>
    <row r="22" spans="1:11" ht="30" x14ac:dyDescent="0.25">
      <c r="A22" s="18" t="s">
        <v>18</v>
      </c>
      <c r="B22" s="15">
        <v>4</v>
      </c>
      <c r="C22" s="15">
        <v>5</v>
      </c>
      <c r="D22" s="15">
        <v>6</v>
      </c>
      <c r="E22" s="15">
        <v>5</v>
      </c>
      <c r="F22" s="15">
        <v>5</v>
      </c>
      <c r="G22" s="15">
        <v>4</v>
      </c>
      <c r="H22" s="15">
        <v>5</v>
      </c>
      <c r="I22" s="15">
        <v>4</v>
      </c>
      <c r="J22" s="15">
        <f t="shared" si="4"/>
        <v>4.75</v>
      </c>
      <c r="K22" s="17">
        <f t="shared" si="3"/>
        <v>0.79166666666666663</v>
      </c>
    </row>
    <row r="23" spans="1:11" ht="30" x14ac:dyDescent="0.25">
      <c r="A23" s="18" t="s">
        <v>19</v>
      </c>
      <c r="B23" s="15">
        <v>5</v>
      </c>
      <c r="C23" s="15">
        <v>5</v>
      </c>
      <c r="D23" s="15">
        <v>6</v>
      </c>
      <c r="E23" s="15">
        <v>5</v>
      </c>
      <c r="F23" s="15">
        <v>5</v>
      </c>
      <c r="G23" s="15">
        <v>6</v>
      </c>
      <c r="H23" s="15">
        <v>5</v>
      </c>
      <c r="I23" s="15">
        <v>5</v>
      </c>
      <c r="J23" s="15">
        <f t="shared" si="4"/>
        <v>5.25</v>
      </c>
      <c r="K23" s="17">
        <f t="shared" si="3"/>
        <v>0.875</v>
      </c>
    </row>
    <row r="24" spans="1:11" ht="30" x14ac:dyDescent="0.25">
      <c r="A24" s="18" t="s">
        <v>20</v>
      </c>
      <c r="B24" s="15">
        <v>3</v>
      </c>
      <c r="C24" s="15">
        <v>5</v>
      </c>
      <c r="D24" s="15">
        <v>6</v>
      </c>
      <c r="E24" s="15">
        <v>6</v>
      </c>
      <c r="F24" s="15">
        <v>5</v>
      </c>
      <c r="G24" s="15">
        <v>6</v>
      </c>
      <c r="H24" s="15">
        <v>5</v>
      </c>
      <c r="I24" s="15">
        <v>5</v>
      </c>
      <c r="J24" s="15">
        <f t="shared" si="4"/>
        <v>5.125</v>
      </c>
      <c r="K24" s="17">
        <f t="shared" si="3"/>
        <v>0.85416666666666663</v>
      </c>
    </row>
    <row r="25" spans="1:11" ht="30" x14ac:dyDescent="0.25">
      <c r="A25" s="18" t="s">
        <v>21</v>
      </c>
      <c r="B25" s="15">
        <v>6</v>
      </c>
      <c r="C25" s="15">
        <v>5</v>
      </c>
      <c r="D25" s="15">
        <v>6</v>
      </c>
      <c r="E25" s="15">
        <v>6</v>
      </c>
      <c r="F25" s="15">
        <v>6</v>
      </c>
      <c r="G25" s="15">
        <v>5</v>
      </c>
      <c r="H25" s="15">
        <v>5</v>
      </c>
      <c r="I25" s="15">
        <v>6</v>
      </c>
      <c r="J25" s="15">
        <f t="shared" si="4"/>
        <v>5.625</v>
      </c>
      <c r="K25" s="17">
        <f t="shared" si="3"/>
        <v>0.9375</v>
      </c>
    </row>
    <row r="26" spans="1:11" ht="45" x14ac:dyDescent="0.25">
      <c r="A26" s="9" t="s">
        <v>22</v>
      </c>
      <c r="B26" s="10">
        <v>5</v>
      </c>
      <c r="C26" s="10">
        <v>3</v>
      </c>
      <c r="D26" s="10">
        <v>6</v>
      </c>
      <c r="E26" s="10">
        <v>4</v>
      </c>
      <c r="F26" s="10">
        <v>5</v>
      </c>
      <c r="G26" s="10">
        <v>3</v>
      </c>
      <c r="H26" s="10">
        <v>4</v>
      </c>
      <c r="I26" s="10">
        <v>5</v>
      </c>
      <c r="J26" s="10">
        <f t="shared" si="4"/>
        <v>4.375</v>
      </c>
      <c r="K26" s="11">
        <f t="shared" si="3"/>
        <v>0.72916666666666663</v>
      </c>
    </row>
    <row r="28" spans="1:11" ht="17.25" x14ac:dyDescent="0.3">
      <c r="A28" s="16" t="s">
        <v>23</v>
      </c>
      <c r="K28" s="17">
        <f>AVERAGE(K29:K31)</f>
        <v>0.75</v>
      </c>
    </row>
    <row r="29" spans="1:11" ht="30" x14ac:dyDescent="0.25">
      <c r="A29" s="18" t="s">
        <v>24</v>
      </c>
      <c r="B29" s="15">
        <v>5</v>
      </c>
      <c r="C29" s="15">
        <v>5</v>
      </c>
      <c r="D29" s="15">
        <v>6</v>
      </c>
      <c r="E29" s="15">
        <v>6</v>
      </c>
      <c r="F29" s="15">
        <v>6</v>
      </c>
      <c r="G29" s="15">
        <v>5</v>
      </c>
      <c r="H29" s="15">
        <v>4</v>
      </c>
      <c r="I29" s="15">
        <v>6</v>
      </c>
      <c r="J29" s="15">
        <f t="shared" si="4"/>
        <v>5.375</v>
      </c>
      <c r="K29" s="17">
        <f t="shared" si="3"/>
        <v>0.89583333333333337</v>
      </c>
    </row>
    <row r="30" spans="1:11" ht="60" x14ac:dyDescent="0.25">
      <c r="A30" s="18" t="s">
        <v>25</v>
      </c>
      <c r="B30" s="15">
        <v>5</v>
      </c>
      <c r="C30" s="15">
        <v>3</v>
      </c>
      <c r="D30" s="15">
        <v>6</v>
      </c>
      <c r="E30" s="15">
        <v>6</v>
      </c>
      <c r="F30" s="15">
        <v>5</v>
      </c>
      <c r="G30" s="15">
        <v>5</v>
      </c>
      <c r="H30" s="15">
        <v>2</v>
      </c>
      <c r="I30" s="15">
        <v>5</v>
      </c>
      <c r="J30" s="15">
        <f t="shared" si="4"/>
        <v>4.625</v>
      </c>
      <c r="K30" s="17">
        <f t="shared" si="3"/>
        <v>0.77083333333333337</v>
      </c>
    </row>
    <row r="31" spans="1:11" ht="30" x14ac:dyDescent="0.25">
      <c r="A31" s="12" t="s">
        <v>26</v>
      </c>
      <c r="B31" s="13">
        <v>2</v>
      </c>
      <c r="C31" s="13">
        <v>3</v>
      </c>
      <c r="D31" s="13">
        <v>6</v>
      </c>
      <c r="E31" s="13">
        <v>4</v>
      </c>
      <c r="F31" s="13">
        <v>5</v>
      </c>
      <c r="G31" s="13">
        <v>1</v>
      </c>
      <c r="H31" s="13">
        <v>3</v>
      </c>
      <c r="I31" s="13">
        <v>4</v>
      </c>
      <c r="J31" s="13">
        <f t="shared" si="4"/>
        <v>3.5</v>
      </c>
      <c r="K31" s="14">
        <f t="shared" si="3"/>
        <v>0.58333333333333337</v>
      </c>
    </row>
    <row r="33" spans="1:11" ht="34.5" x14ac:dyDescent="0.3">
      <c r="A33" s="16" t="s">
        <v>27</v>
      </c>
      <c r="K33" s="17">
        <f>AVERAGE(K34:K39)</f>
        <v>0.79513888888888895</v>
      </c>
    </row>
    <row r="34" spans="1:11" ht="30" x14ac:dyDescent="0.25">
      <c r="A34" s="18" t="s">
        <v>28</v>
      </c>
      <c r="B34" s="15">
        <v>4</v>
      </c>
      <c r="C34" s="15">
        <v>4</v>
      </c>
      <c r="D34" s="15">
        <v>5</v>
      </c>
      <c r="E34" s="15">
        <v>5</v>
      </c>
      <c r="F34" s="15">
        <v>5</v>
      </c>
      <c r="G34" s="15">
        <v>6</v>
      </c>
      <c r="H34" s="15">
        <v>6</v>
      </c>
      <c r="I34" s="15">
        <v>5</v>
      </c>
      <c r="J34" s="15">
        <f t="shared" si="4"/>
        <v>5</v>
      </c>
      <c r="K34" s="17">
        <f t="shared" si="3"/>
        <v>0.83333333333333337</v>
      </c>
    </row>
    <row r="35" spans="1:11" ht="30" x14ac:dyDescent="0.25">
      <c r="A35" s="18" t="s">
        <v>29</v>
      </c>
      <c r="B35" s="15">
        <v>4</v>
      </c>
      <c r="C35" s="15">
        <v>5</v>
      </c>
      <c r="D35" s="15">
        <v>5</v>
      </c>
      <c r="E35" s="15">
        <v>5</v>
      </c>
      <c r="F35" s="15">
        <v>6</v>
      </c>
      <c r="G35" s="15">
        <v>6</v>
      </c>
      <c r="H35" s="15">
        <v>3</v>
      </c>
      <c r="I35" s="15">
        <v>6</v>
      </c>
      <c r="J35" s="15">
        <f t="shared" si="4"/>
        <v>5</v>
      </c>
      <c r="K35" s="17">
        <f t="shared" si="3"/>
        <v>0.83333333333333337</v>
      </c>
    </row>
    <row r="36" spans="1:11" ht="30" x14ac:dyDescent="0.25">
      <c r="A36" s="18" t="s">
        <v>30</v>
      </c>
      <c r="B36" s="15">
        <v>4</v>
      </c>
      <c r="C36" s="15">
        <v>4</v>
      </c>
      <c r="D36" s="15">
        <v>6</v>
      </c>
      <c r="E36" s="15">
        <v>4</v>
      </c>
      <c r="F36" s="15">
        <v>5</v>
      </c>
      <c r="G36" s="15">
        <v>6</v>
      </c>
      <c r="H36" s="15">
        <v>4</v>
      </c>
      <c r="I36" s="15">
        <v>5</v>
      </c>
      <c r="J36" s="15">
        <f t="shared" si="4"/>
        <v>4.75</v>
      </c>
      <c r="K36" s="17">
        <f t="shared" si="3"/>
        <v>0.79166666666666663</v>
      </c>
    </row>
    <row r="37" spans="1:11" ht="45" x14ac:dyDescent="0.25">
      <c r="A37" s="18" t="s">
        <v>31</v>
      </c>
      <c r="B37" s="15">
        <v>4</v>
      </c>
      <c r="C37" s="15">
        <v>5</v>
      </c>
      <c r="D37" s="15">
        <v>6</v>
      </c>
      <c r="E37" s="15">
        <v>6</v>
      </c>
      <c r="F37" s="15">
        <v>5</v>
      </c>
      <c r="G37" s="15">
        <v>5</v>
      </c>
      <c r="H37" s="15">
        <v>3</v>
      </c>
      <c r="I37" s="15">
        <v>6</v>
      </c>
      <c r="J37" s="15">
        <f t="shared" si="4"/>
        <v>5</v>
      </c>
      <c r="K37" s="17">
        <f t="shared" si="3"/>
        <v>0.83333333333333337</v>
      </c>
    </row>
    <row r="38" spans="1:11" ht="45" x14ac:dyDescent="0.25">
      <c r="A38" s="9" t="s">
        <v>32</v>
      </c>
      <c r="B38" s="10">
        <v>2</v>
      </c>
      <c r="C38" s="10">
        <v>4</v>
      </c>
      <c r="D38" s="10">
        <v>4</v>
      </c>
      <c r="E38" s="10">
        <v>5</v>
      </c>
      <c r="F38" s="10">
        <v>6</v>
      </c>
      <c r="G38" s="10">
        <v>5</v>
      </c>
      <c r="H38" s="10">
        <v>2</v>
      </c>
      <c r="I38" s="10">
        <v>5</v>
      </c>
      <c r="J38" s="10">
        <f t="shared" si="4"/>
        <v>4.125</v>
      </c>
      <c r="K38" s="11">
        <f t="shared" si="3"/>
        <v>0.6875</v>
      </c>
    </row>
    <row r="39" spans="1:11" ht="30" x14ac:dyDescent="0.25">
      <c r="A39" s="18" t="s">
        <v>33</v>
      </c>
      <c r="B39" s="15">
        <v>2</v>
      </c>
      <c r="C39" s="15">
        <v>5</v>
      </c>
      <c r="D39" s="15">
        <v>4</v>
      </c>
      <c r="E39" s="15">
        <v>6</v>
      </c>
      <c r="F39" s="15">
        <v>6</v>
      </c>
      <c r="G39" s="15">
        <v>5</v>
      </c>
      <c r="H39" s="15">
        <v>5</v>
      </c>
      <c r="I39" s="15">
        <v>5</v>
      </c>
      <c r="J39" s="15">
        <f t="shared" si="4"/>
        <v>4.75</v>
      </c>
      <c r="K39" s="17">
        <f t="shared" si="3"/>
        <v>0.79166666666666663</v>
      </c>
    </row>
    <row r="41" spans="1:11" ht="34.5" x14ac:dyDescent="0.3">
      <c r="A41" s="16" t="s">
        <v>34</v>
      </c>
      <c r="K41" s="17">
        <f>AVERAGE(K42:K47)</f>
        <v>0.69791666666666663</v>
      </c>
    </row>
    <row r="42" spans="1:11" ht="30" x14ac:dyDescent="0.25">
      <c r="A42" s="18" t="s">
        <v>35</v>
      </c>
      <c r="B42" s="15">
        <v>6</v>
      </c>
      <c r="C42" s="15">
        <v>5</v>
      </c>
      <c r="D42" s="15">
        <v>5</v>
      </c>
      <c r="E42" s="15">
        <v>5</v>
      </c>
      <c r="F42" s="15">
        <v>5</v>
      </c>
      <c r="G42" s="15">
        <v>3</v>
      </c>
      <c r="H42" s="15">
        <v>3</v>
      </c>
      <c r="I42" s="15">
        <v>4</v>
      </c>
      <c r="J42" s="15">
        <f t="shared" si="4"/>
        <v>4.5</v>
      </c>
      <c r="K42" s="17">
        <f t="shared" si="3"/>
        <v>0.75</v>
      </c>
    </row>
    <row r="43" spans="1:11" ht="30" x14ac:dyDescent="0.25">
      <c r="A43" s="18" t="s">
        <v>36</v>
      </c>
      <c r="B43" s="15">
        <v>4</v>
      </c>
      <c r="C43" s="15">
        <v>4</v>
      </c>
      <c r="D43" s="15">
        <v>5</v>
      </c>
      <c r="E43" s="15">
        <v>5</v>
      </c>
      <c r="F43" s="15">
        <v>5</v>
      </c>
      <c r="G43" s="15">
        <v>5</v>
      </c>
      <c r="H43" s="15">
        <v>3</v>
      </c>
      <c r="I43" s="15">
        <v>5</v>
      </c>
      <c r="J43" s="15">
        <f t="shared" si="4"/>
        <v>4.5</v>
      </c>
      <c r="K43" s="17">
        <f t="shared" si="3"/>
        <v>0.75</v>
      </c>
    </row>
    <row r="44" spans="1:11" ht="45" x14ac:dyDescent="0.25">
      <c r="A44" s="18" t="s">
        <v>37</v>
      </c>
      <c r="B44" s="15">
        <v>3</v>
      </c>
      <c r="C44" s="15">
        <v>5</v>
      </c>
      <c r="D44" s="15">
        <v>6</v>
      </c>
      <c r="E44" s="15">
        <v>3</v>
      </c>
      <c r="F44" s="15">
        <v>5</v>
      </c>
      <c r="G44" s="15">
        <v>6</v>
      </c>
      <c r="H44" s="15">
        <v>3</v>
      </c>
      <c r="I44" s="15">
        <v>5</v>
      </c>
      <c r="J44" s="15">
        <f t="shared" si="4"/>
        <v>4.5</v>
      </c>
      <c r="K44" s="17">
        <f t="shared" si="3"/>
        <v>0.75</v>
      </c>
    </row>
    <row r="45" spans="1:11" ht="45" x14ac:dyDescent="0.25">
      <c r="A45" s="12" t="s">
        <v>38</v>
      </c>
      <c r="B45" s="13">
        <v>1</v>
      </c>
      <c r="C45" s="13">
        <v>3</v>
      </c>
      <c r="D45" s="13">
        <v>6</v>
      </c>
      <c r="E45" s="13">
        <v>3</v>
      </c>
      <c r="F45" s="13">
        <v>5</v>
      </c>
      <c r="G45" s="13">
        <v>5</v>
      </c>
      <c r="H45" s="13">
        <v>2</v>
      </c>
      <c r="I45" s="13">
        <v>5</v>
      </c>
      <c r="J45" s="13">
        <f t="shared" si="4"/>
        <v>3.75</v>
      </c>
      <c r="K45" s="14">
        <f t="shared" si="3"/>
        <v>0.625</v>
      </c>
    </row>
    <row r="46" spans="1:11" ht="45" x14ac:dyDescent="0.25">
      <c r="A46" s="12" t="s">
        <v>39</v>
      </c>
      <c r="B46" s="13">
        <v>1</v>
      </c>
      <c r="C46" s="13">
        <v>4</v>
      </c>
      <c r="D46" s="13">
        <v>6</v>
      </c>
      <c r="E46" s="13">
        <v>3</v>
      </c>
      <c r="F46" s="13">
        <v>5</v>
      </c>
      <c r="G46" s="13">
        <v>1</v>
      </c>
      <c r="H46" s="13">
        <v>1</v>
      </c>
      <c r="I46" s="13">
        <v>5</v>
      </c>
      <c r="J46" s="13">
        <f t="shared" si="4"/>
        <v>3.25</v>
      </c>
      <c r="K46" s="14">
        <f t="shared" si="3"/>
        <v>0.54166666666666663</v>
      </c>
    </row>
    <row r="47" spans="1:11" ht="45" x14ac:dyDescent="0.25">
      <c r="A47" s="18" t="s">
        <v>40</v>
      </c>
      <c r="B47" s="15">
        <v>2</v>
      </c>
      <c r="C47" s="15">
        <v>3</v>
      </c>
      <c r="D47" s="15">
        <v>6</v>
      </c>
      <c r="E47" s="15">
        <v>6</v>
      </c>
      <c r="F47" s="15">
        <v>6</v>
      </c>
      <c r="G47" s="15">
        <v>5</v>
      </c>
      <c r="H47" s="15">
        <v>5</v>
      </c>
      <c r="I47" s="15">
        <v>4</v>
      </c>
      <c r="J47" s="15">
        <f t="shared" si="4"/>
        <v>4.625</v>
      </c>
      <c r="K47" s="17">
        <f t="shared" si="3"/>
        <v>0.77083333333333337</v>
      </c>
    </row>
    <row r="49" spans="1:11" ht="17.25" x14ac:dyDescent="0.3">
      <c r="A49" s="16" t="s">
        <v>41</v>
      </c>
      <c r="K49" s="17">
        <f>AVERAGE(K50:K62)</f>
        <v>0.66435185185185197</v>
      </c>
    </row>
    <row r="50" spans="1:11" ht="45" x14ac:dyDescent="0.25">
      <c r="A50" s="18" t="s">
        <v>42</v>
      </c>
      <c r="B50" s="15">
        <v>5</v>
      </c>
      <c r="C50" s="15">
        <v>4</v>
      </c>
      <c r="D50" s="15">
        <v>6</v>
      </c>
      <c r="E50" s="15">
        <v>6</v>
      </c>
      <c r="F50" s="15">
        <v>6</v>
      </c>
      <c r="G50" s="15">
        <v>6</v>
      </c>
      <c r="H50" s="15">
        <v>4</v>
      </c>
      <c r="I50" s="15">
        <v>6</v>
      </c>
      <c r="J50" s="15">
        <f t="shared" si="4"/>
        <v>5.375</v>
      </c>
      <c r="K50" s="17">
        <f t="shared" si="3"/>
        <v>0.89583333333333337</v>
      </c>
    </row>
    <row r="51" spans="1:11" x14ac:dyDescent="0.25">
      <c r="A51" s="15" t="s">
        <v>43</v>
      </c>
      <c r="B51" s="15">
        <v>2</v>
      </c>
      <c r="C51" s="15">
        <v>4</v>
      </c>
      <c r="D51" s="15">
        <v>6</v>
      </c>
      <c r="E51" s="15">
        <v>5</v>
      </c>
      <c r="F51" s="15">
        <v>6</v>
      </c>
      <c r="G51" s="15">
        <v>2</v>
      </c>
      <c r="H51" s="15">
        <v>2</v>
      </c>
      <c r="I51" s="15">
        <v>6</v>
      </c>
      <c r="J51" s="15">
        <f t="shared" si="4"/>
        <v>4.125</v>
      </c>
      <c r="K51" s="15">
        <f t="shared" si="3"/>
        <v>0.6875</v>
      </c>
    </row>
    <row r="53" spans="1:11" ht="17.25" x14ac:dyDescent="0.3">
      <c r="A53" s="16" t="s">
        <v>44</v>
      </c>
      <c r="K53" s="17">
        <f>AVERAGE(K54:K62)</f>
        <v>0.63888888888888895</v>
      </c>
    </row>
    <row r="54" spans="1:11" ht="30" x14ac:dyDescent="0.25">
      <c r="A54" s="9" t="s">
        <v>45</v>
      </c>
      <c r="B54" s="10">
        <v>5</v>
      </c>
      <c r="C54" s="10">
        <v>2</v>
      </c>
      <c r="D54" s="10">
        <v>6</v>
      </c>
      <c r="E54" s="10">
        <v>5</v>
      </c>
      <c r="F54" s="10">
        <v>5</v>
      </c>
      <c r="G54" s="10">
        <v>2</v>
      </c>
      <c r="H54" s="10">
        <v>2</v>
      </c>
      <c r="I54" s="10">
        <v>5</v>
      </c>
      <c r="J54" s="10">
        <f t="shared" si="4"/>
        <v>4</v>
      </c>
      <c r="K54" s="11">
        <f t="shared" si="3"/>
        <v>0.66666666666666663</v>
      </c>
    </row>
    <row r="55" spans="1:11" ht="30" x14ac:dyDescent="0.25">
      <c r="A55" s="9" t="s">
        <v>46</v>
      </c>
      <c r="B55" s="10">
        <v>3</v>
      </c>
      <c r="C55" s="10">
        <v>4</v>
      </c>
      <c r="D55" s="10">
        <v>6</v>
      </c>
      <c r="E55" s="10">
        <v>6</v>
      </c>
      <c r="F55" s="10">
        <v>5</v>
      </c>
      <c r="G55" s="10">
        <v>1</v>
      </c>
      <c r="H55" s="10">
        <v>2</v>
      </c>
      <c r="I55" s="10">
        <v>4</v>
      </c>
      <c r="J55" s="10">
        <f t="shared" si="4"/>
        <v>3.875</v>
      </c>
      <c r="K55" s="11">
        <f t="shared" si="3"/>
        <v>0.64583333333333337</v>
      </c>
    </row>
    <row r="56" spans="1:11" ht="30" x14ac:dyDescent="0.25">
      <c r="A56" s="12" t="s">
        <v>47</v>
      </c>
      <c r="B56" s="13">
        <v>2</v>
      </c>
      <c r="C56" s="13">
        <v>4</v>
      </c>
      <c r="D56" s="13">
        <v>6</v>
      </c>
      <c r="E56" s="13">
        <v>5</v>
      </c>
      <c r="F56" s="13">
        <v>5</v>
      </c>
      <c r="G56" s="13">
        <v>1</v>
      </c>
      <c r="H56" s="13">
        <v>1</v>
      </c>
      <c r="I56" s="13">
        <v>4</v>
      </c>
      <c r="J56" s="13">
        <f t="shared" si="4"/>
        <v>3.5</v>
      </c>
      <c r="K56" s="14">
        <f t="shared" si="3"/>
        <v>0.58333333333333337</v>
      </c>
    </row>
    <row r="57" spans="1:11" ht="30" x14ac:dyDescent="0.25">
      <c r="A57" s="9" t="s">
        <v>48</v>
      </c>
      <c r="B57" s="10">
        <v>3</v>
      </c>
      <c r="C57" s="10">
        <v>4</v>
      </c>
      <c r="D57" s="10">
        <v>6</v>
      </c>
      <c r="E57" s="10">
        <v>5</v>
      </c>
      <c r="F57" s="10">
        <v>5</v>
      </c>
      <c r="G57" s="10">
        <v>1</v>
      </c>
      <c r="H57" s="10">
        <v>1</v>
      </c>
      <c r="I57" s="10">
        <v>4</v>
      </c>
      <c r="J57" s="10">
        <f t="shared" si="4"/>
        <v>3.625</v>
      </c>
      <c r="K57" s="11">
        <f t="shared" si="3"/>
        <v>0.60416666666666663</v>
      </c>
    </row>
    <row r="58" spans="1:11" ht="30" x14ac:dyDescent="0.25">
      <c r="A58" s="9" t="s">
        <v>49</v>
      </c>
      <c r="B58" s="10">
        <v>2</v>
      </c>
      <c r="C58" s="10">
        <v>4</v>
      </c>
      <c r="D58" s="10">
        <v>6</v>
      </c>
      <c r="E58" s="10">
        <v>5</v>
      </c>
      <c r="F58" s="10">
        <v>6</v>
      </c>
      <c r="G58" s="10">
        <v>1</v>
      </c>
      <c r="H58" s="10">
        <v>1</v>
      </c>
      <c r="I58" s="10">
        <v>4</v>
      </c>
      <c r="J58" s="10">
        <f t="shared" si="4"/>
        <v>3.625</v>
      </c>
      <c r="K58" s="11">
        <f t="shared" si="3"/>
        <v>0.60416666666666663</v>
      </c>
    </row>
    <row r="59" spans="1:11" x14ac:dyDescent="0.25">
      <c r="A59" s="12" t="s">
        <v>50</v>
      </c>
      <c r="B59" s="13">
        <v>4</v>
      </c>
      <c r="C59" s="13">
        <v>4</v>
      </c>
      <c r="D59" s="13">
        <v>6</v>
      </c>
      <c r="E59" s="13">
        <v>4</v>
      </c>
      <c r="F59" s="13">
        <v>6</v>
      </c>
      <c r="G59" s="13">
        <v>2</v>
      </c>
      <c r="H59" s="13">
        <v>1</v>
      </c>
      <c r="I59" s="13">
        <v>4</v>
      </c>
      <c r="J59" s="13">
        <f t="shared" si="4"/>
        <v>3.875</v>
      </c>
      <c r="K59" s="14">
        <f t="shared" si="3"/>
        <v>0.64583333333333337</v>
      </c>
    </row>
    <row r="60" spans="1:11" ht="30" x14ac:dyDescent="0.25">
      <c r="A60" s="9" t="s">
        <v>51</v>
      </c>
      <c r="B60" s="10">
        <v>4</v>
      </c>
      <c r="C60" s="10">
        <v>4</v>
      </c>
      <c r="D60" s="10">
        <v>6</v>
      </c>
      <c r="E60" s="10">
        <v>5</v>
      </c>
      <c r="F60" s="10">
        <v>5</v>
      </c>
      <c r="G60" s="10">
        <v>2</v>
      </c>
      <c r="H60" s="10">
        <v>1</v>
      </c>
      <c r="I60" s="10">
        <v>5</v>
      </c>
      <c r="J60" s="10">
        <f t="shared" si="4"/>
        <v>4</v>
      </c>
      <c r="K60" s="11">
        <f t="shared" si="3"/>
        <v>0.66666666666666663</v>
      </c>
    </row>
    <row r="61" spans="1:11" ht="30" x14ac:dyDescent="0.25">
      <c r="A61" s="9" t="s">
        <v>52</v>
      </c>
      <c r="B61" s="10">
        <v>3</v>
      </c>
      <c r="C61" s="10">
        <v>3</v>
      </c>
      <c r="D61" s="10">
        <v>6</v>
      </c>
      <c r="E61" s="10">
        <v>4</v>
      </c>
      <c r="F61" s="10">
        <v>6</v>
      </c>
      <c r="G61" s="10">
        <v>4</v>
      </c>
      <c r="H61" s="10">
        <v>4</v>
      </c>
      <c r="I61" s="10">
        <v>5</v>
      </c>
      <c r="J61" s="10">
        <f t="shared" si="4"/>
        <v>4.375</v>
      </c>
      <c r="K61" s="11">
        <f t="shared" si="3"/>
        <v>0.72916666666666663</v>
      </c>
    </row>
    <row r="62" spans="1:11" ht="30" x14ac:dyDescent="0.25">
      <c r="A62" s="12" t="s">
        <v>53</v>
      </c>
      <c r="B62" s="13">
        <v>2</v>
      </c>
      <c r="C62" s="13">
        <v>3</v>
      </c>
      <c r="D62" s="13">
        <v>6</v>
      </c>
      <c r="E62" s="13">
        <v>4</v>
      </c>
      <c r="F62" s="13">
        <v>6</v>
      </c>
      <c r="G62" s="13">
        <v>2</v>
      </c>
      <c r="H62" s="13">
        <v>1</v>
      </c>
      <c r="I62" s="13">
        <v>5</v>
      </c>
      <c r="J62" s="13">
        <f t="shared" si="4"/>
        <v>3.625</v>
      </c>
      <c r="K62" s="14">
        <f t="shared" si="3"/>
        <v>0.60416666666666663</v>
      </c>
    </row>
    <row r="64" spans="1:11" ht="17.25" x14ac:dyDescent="0.3">
      <c r="A64" s="16" t="s">
        <v>54</v>
      </c>
      <c r="K64" s="17">
        <f>AVERAGE(K65:K67)</f>
        <v>0.85416666666666663</v>
      </c>
    </row>
    <row r="65" spans="1:11" ht="30" x14ac:dyDescent="0.25">
      <c r="A65" s="18" t="s">
        <v>55</v>
      </c>
      <c r="B65" s="15">
        <v>3</v>
      </c>
      <c r="C65" s="15">
        <v>4</v>
      </c>
      <c r="D65" s="15">
        <v>6</v>
      </c>
      <c r="E65" s="15">
        <v>6</v>
      </c>
      <c r="F65" s="15">
        <v>5</v>
      </c>
      <c r="G65" s="15">
        <v>6</v>
      </c>
      <c r="H65" s="15">
        <v>6</v>
      </c>
      <c r="I65" s="15">
        <v>5</v>
      </c>
      <c r="J65" s="15">
        <f t="shared" si="4"/>
        <v>5.125</v>
      </c>
      <c r="K65" s="17">
        <f t="shared" si="3"/>
        <v>0.85416666666666663</v>
      </c>
    </row>
    <row r="66" spans="1:11" ht="30" x14ac:dyDescent="0.25">
      <c r="A66" s="18" t="s">
        <v>56</v>
      </c>
      <c r="B66" s="15">
        <v>3</v>
      </c>
      <c r="C66" s="15">
        <v>5</v>
      </c>
      <c r="D66" s="15">
        <v>5</v>
      </c>
      <c r="E66" s="15">
        <v>6</v>
      </c>
      <c r="F66" s="15">
        <v>6</v>
      </c>
      <c r="G66" s="15">
        <v>6</v>
      </c>
      <c r="H66" s="15">
        <v>6</v>
      </c>
      <c r="I66" s="15">
        <v>5</v>
      </c>
      <c r="J66" s="15">
        <f t="shared" si="4"/>
        <v>5.25</v>
      </c>
      <c r="K66" s="17">
        <f t="shared" si="3"/>
        <v>0.875</v>
      </c>
    </row>
    <row r="67" spans="1:11" ht="30" x14ac:dyDescent="0.25">
      <c r="A67" s="18" t="s">
        <v>57</v>
      </c>
      <c r="B67" s="15">
        <v>3</v>
      </c>
      <c r="C67" s="15">
        <v>4</v>
      </c>
      <c r="D67" s="15">
        <v>5</v>
      </c>
      <c r="E67" s="15">
        <v>5</v>
      </c>
      <c r="F67" s="15">
        <v>6</v>
      </c>
      <c r="G67" s="15">
        <v>6</v>
      </c>
      <c r="H67" s="15">
        <v>6</v>
      </c>
      <c r="I67" s="15">
        <v>5</v>
      </c>
      <c r="J67" s="15">
        <f t="shared" si="4"/>
        <v>5</v>
      </c>
      <c r="K67" s="17">
        <f t="shared" si="3"/>
        <v>0.83333333333333337</v>
      </c>
    </row>
    <row r="70" spans="1:11" x14ac:dyDescent="0.25">
      <c r="A70" s="18"/>
    </row>
    <row r="71" spans="1:11" x14ac:dyDescent="0.25">
      <c r="A71" s="18"/>
    </row>
    <row r="72" spans="1:11" x14ac:dyDescent="0.25">
      <c r="A72" s="18"/>
    </row>
  </sheetData>
  <conditionalFormatting sqref="K1:K1048576">
    <cfRule type="containsBlanks" dxfId="7" priority="3" stopIfTrue="1">
      <formula>LEN(TRIM(K1))=0</formula>
    </cfRule>
    <cfRule type="cellIs" dxfId="6" priority="4" operator="lessThanOrEqual">
      <formula>0.645</formula>
    </cfRule>
    <cfRule type="cellIs" dxfId="5" priority="5" operator="between">
      <formula>0.645</formula>
      <formula>0.745</formula>
    </cfRule>
    <cfRule type="cellIs" dxfId="4" priority="6" operator="greaterThanOrEqual">
      <formula>0.745</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3"/>
  <dimension ref="A1:Q29"/>
  <sheetViews>
    <sheetView workbookViewId="0">
      <selection activeCell="A15" sqref="A15"/>
    </sheetView>
  </sheetViews>
  <sheetFormatPr defaultRowHeight="15" x14ac:dyDescent="0.25"/>
  <cols>
    <col min="1" max="1" width="47.42578125" customWidth="1"/>
    <col min="2" max="2" width="8.7109375" customWidth="1"/>
  </cols>
  <sheetData>
    <row r="1" spans="1:17" s="1" customFormat="1" ht="18" thickBot="1" x14ac:dyDescent="0.35">
      <c r="A1" s="8" t="s">
        <v>69</v>
      </c>
      <c r="B1" s="8" t="s">
        <v>66</v>
      </c>
      <c r="C1" s="5"/>
      <c r="D1" s="5"/>
      <c r="E1" s="5"/>
      <c r="F1" s="5"/>
      <c r="G1" s="5"/>
      <c r="H1" s="5"/>
      <c r="I1" s="5"/>
      <c r="J1" s="5"/>
      <c r="K1" s="5"/>
      <c r="L1" s="5"/>
      <c r="M1" s="5"/>
      <c r="N1" s="5"/>
      <c r="O1" s="5"/>
      <c r="P1" s="5"/>
      <c r="Q1" s="5"/>
    </row>
    <row r="2" spans="1:17" ht="15.75" thickTop="1" x14ac:dyDescent="0.25">
      <c r="A2" s="22" t="s">
        <v>2</v>
      </c>
      <c r="B2" s="23">
        <f>'Inkomna svar'!$K$2</f>
        <v>0.8203125</v>
      </c>
      <c r="C2" s="4"/>
      <c r="D2" s="4"/>
      <c r="E2" s="4"/>
      <c r="F2" s="4"/>
      <c r="G2" s="4"/>
      <c r="H2" s="4"/>
      <c r="I2" s="4"/>
      <c r="J2" s="4"/>
      <c r="K2" s="4"/>
      <c r="L2" s="4"/>
      <c r="M2" s="4"/>
      <c r="N2" s="4"/>
      <c r="O2" s="4"/>
      <c r="P2" s="4"/>
      <c r="Q2" s="4"/>
    </row>
    <row r="3" spans="1:17" x14ac:dyDescent="0.25">
      <c r="A3" s="22" t="s">
        <v>9</v>
      </c>
      <c r="B3" s="24">
        <f>'Inkomna svar'!$K$12</f>
        <v>0.76041666666666685</v>
      </c>
      <c r="C3" s="4"/>
      <c r="D3" s="4"/>
      <c r="E3" s="4"/>
      <c r="F3" s="4"/>
      <c r="G3" s="4"/>
      <c r="H3" s="4"/>
      <c r="I3" s="4"/>
      <c r="J3" s="4"/>
      <c r="K3" s="4"/>
      <c r="L3" s="4"/>
      <c r="M3" s="4"/>
      <c r="N3" s="4"/>
      <c r="O3" s="4"/>
      <c r="P3" s="4"/>
      <c r="Q3" s="4"/>
    </row>
    <row r="4" spans="1:17" x14ac:dyDescent="0.25">
      <c r="A4" s="22" t="s">
        <v>16</v>
      </c>
      <c r="B4" s="24">
        <f>'Inkomna svar'!$K$20</f>
        <v>0.85069444444444453</v>
      </c>
      <c r="C4" s="4"/>
      <c r="D4" s="4"/>
      <c r="E4" s="4"/>
      <c r="F4" s="4"/>
      <c r="G4" s="4"/>
      <c r="H4" s="4"/>
      <c r="I4" s="4"/>
      <c r="J4" s="4"/>
      <c r="K4" s="4"/>
      <c r="L4" s="4"/>
      <c r="M4" s="4"/>
      <c r="N4" s="4"/>
      <c r="O4" s="4"/>
      <c r="P4" s="4"/>
      <c r="Q4" s="4"/>
    </row>
    <row r="5" spans="1:17" x14ac:dyDescent="0.25">
      <c r="A5" s="25" t="s">
        <v>23</v>
      </c>
      <c r="B5" s="26">
        <f>'Inkomna svar'!$K$28</f>
        <v>0.75</v>
      </c>
      <c r="C5" s="4"/>
      <c r="D5" s="4"/>
      <c r="E5" s="4"/>
      <c r="F5" s="4"/>
      <c r="G5" s="4"/>
      <c r="H5" s="4"/>
      <c r="I5" s="4"/>
      <c r="J5" s="4"/>
      <c r="K5" s="4"/>
      <c r="L5" s="4"/>
      <c r="M5" s="4"/>
      <c r="N5" s="4"/>
      <c r="O5" s="4"/>
      <c r="P5" s="4"/>
      <c r="Q5" s="4"/>
    </row>
    <row r="6" spans="1:17" x14ac:dyDescent="0.25">
      <c r="A6" s="27" t="s">
        <v>27</v>
      </c>
      <c r="B6" s="28">
        <f>'Inkomna svar'!$K$33</f>
        <v>0.79513888888888895</v>
      </c>
      <c r="C6" s="4"/>
      <c r="D6" s="4"/>
      <c r="E6" s="4"/>
      <c r="F6" s="4"/>
      <c r="G6" s="4"/>
      <c r="H6" s="4"/>
      <c r="I6" s="4"/>
      <c r="J6" s="4"/>
      <c r="K6" s="4"/>
      <c r="L6" s="4"/>
      <c r="M6" s="4"/>
      <c r="N6" s="4"/>
      <c r="O6" s="4"/>
      <c r="P6" s="4"/>
      <c r="Q6" s="4"/>
    </row>
    <row r="7" spans="1:17" x14ac:dyDescent="0.25">
      <c r="A7" s="25" t="s">
        <v>34</v>
      </c>
      <c r="B7" s="28">
        <f>'Inkomna svar'!$K$41</f>
        <v>0.69791666666666663</v>
      </c>
      <c r="C7" s="4"/>
      <c r="D7" s="4"/>
      <c r="E7" s="4"/>
      <c r="F7" s="4"/>
      <c r="G7" s="4"/>
      <c r="H7" s="4"/>
      <c r="I7" s="4"/>
      <c r="J7" s="4"/>
      <c r="K7" s="4"/>
      <c r="L7" s="4"/>
      <c r="M7" s="4"/>
      <c r="N7" s="4"/>
      <c r="O7" s="4"/>
      <c r="P7" s="4"/>
      <c r="Q7" s="4"/>
    </row>
    <row r="8" spans="1:17" x14ac:dyDescent="0.25">
      <c r="A8" s="27" t="s">
        <v>41</v>
      </c>
      <c r="B8" s="28">
        <f>'Inkomna svar'!$K$49</f>
        <v>0.66435185185185197</v>
      </c>
      <c r="C8" s="4"/>
      <c r="D8" s="4"/>
      <c r="E8" s="4"/>
      <c r="F8" s="4"/>
      <c r="G8" s="4"/>
      <c r="H8" s="4"/>
      <c r="I8" s="4"/>
      <c r="J8" s="4"/>
      <c r="K8" s="4"/>
      <c r="L8" s="4"/>
      <c r="M8" s="4"/>
      <c r="N8" s="4"/>
      <c r="O8" s="4"/>
      <c r="P8" s="4"/>
      <c r="Q8" s="4"/>
    </row>
    <row r="9" spans="1:17" x14ac:dyDescent="0.25">
      <c r="A9" s="29" t="s">
        <v>44</v>
      </c>
      <c r="B9" s="28">
        <f>'Inkomna svar'!$K$53</f>
        <v>0.63888888888888895</v>
      </c>
      <c r="C9" s="4"/>
      <c r="D9" s="4"/>
      <c r="E9" s="4"/>
      <c r="F9" s="4"/>
      <c r="G9" s="4"/>
      <c r="H9" s="4"/>
      <c r="I9" s="4"/>
      <c r="J9" s="4"/>
      <c r="K9" s="4"/>
      <c r="L9" s="4"/>
      <c r="M9" s="4"/>
      <c r="N9" s="4"/>
      <c r="O9" s="4"/>
      <c r="P9" s="4"/>
      <c r="Q9" s="4"/>
    </row>
    <row r="10" spans="1:17" x14ac:dyDescent="0.25">
      <c r="A10" t="s">
        <v>54</v>
      </c>
      <c r="B10" s="28">
        <f>'Inkomna svar'!$K$64</f>
        <v>0.85416666666666663</v>
      </c>
      <c r="C10" s="4"/>
      <c r="D10" s="4"/>
      <c r="E10" s="4"/>
      <c r="F10" s="4"/>
      <c r="G10" s="4"/>
      <c r="H10" s="4"/>
      <c r="I10" s="4"/>
      <c r="J10" s="4"/>
      <c r="K10" s="4"/>
      <c r="L10" s="4"/>
      <c r="M10" s="4"/>
      <c r="N10" s="4"/>
      <c r="O10" s="4"/>
      <c r="P10" s="4"/>
      <c r="Q10" s="4"/>
    </row>
    <row r="11" spans="1:17" x14ac:dyDescent="0.25">
      <c r="A11" s="4"/>
      <c r="B11" s="30"/>
      <c r="C11" s="4"/>
      <c r="D11" s="4"/>
      <c r="E11" s="4"/>
      <c r="F11" s="4"/>
      <c r="G11" s="4"/>
      <c r="H11" s="4"/>
      <c r="I11" s="4"/>
      <c r="J11" s="4"/>
      <c r="K11" s="4"/>
      <c r="L11" s="4"/>
      <c r="M11" s="4"/>
      <c r="N11" s="4"/>
      <c r="O11" s="4"/>
      <c r="P11" s="4"/>
      <c r="Q11" s="4"/>
    </row>
    <row r="12" spans="1:17" x14ac:dyDescent="0.25">
      <c r="A12" s="7" t="s">
        <v>70</v>
      </c>
      <c r="B12" s="6">
        <f>AVERAGE(B2:B10)</f>
        <v>0.75909850823045277</v>
      </c>
      <c r="C12" s="4"/>
      <c r="D12" s="4"/>
      <c r="E12" s="4"/>
      <c r="F12" s="4"/>
      <c r="G12" s="4"/>
      <c r="H12" s="4"/>
      <c r="I12" s="4"/>
      <c r="J12" s="4"/>
      <c r="K12" s="4"/>
      <c r="L12" s="4"/>
      <c r="M12" s="4"/>
      <c r="N12" s="4"/>
      <c r="O12" s="4"/>
      <c r="P12" s="4"/>
      <c r="Q12" s="4"/>
    </row>
    <row r="13" spans="1:17" x14ac:dyDescent="0.25">
      <c r="A13" s="4"/>
      <c r="B13" s="4"/>
      <c r="C13" s="4"/>
      <c r="D13" s="4"/>
      <c r="E13" s="4"/>
      <c r="F13" s="4"/>
      <c r="G13" s="4"/>
      <c r="H13" s="4"/>
      <c r="I13" s="4"/>
      <c r="J13" s="4"/>
      <c r="K13" s="4"/>
      <c r="L13" s="4"/>
      <c r="M13" s="4"/>
      <c r="N13" s="4"/>
      <c r="O13" s="4"/>
      <c r="P13" s="4"/>
      <c r="Q13" s="4"/>
    </row>
    <row r="14" spans="1:17" x14ac:dyDescent="0.25">
      <c r="A14" s="4"/>
      <c r="B14" s="4"/>
      <c r="C14" s="4"/>
      <c r="D14" s="4"/>
      <c r="E14" s="4"/>
      <c r="F14" s="4"/>
      <c r="G14" s="4"/>
      <c r="H14" s="4"/>
      <c r="I14" s="4"/>
      <c r="J14" s="4"/>
      <c r="K14" s="4"/>
      <c r="L14" s="4"/>
      <c r="M14" s="4"/>
      <c r="N14" s="4"/>
      <c r="O14" s="4"/>
      <c r="P14" s="4"/>
      <c r="Q14" s="4"/>
    </row>
    <row r="15" spans="1:17" x14ac:dyDescent="0.25">
      <c r="A15" s="4"/>
      <c r="B15" s="4"/>
      <c r="C15" s="4"/>
      <c r="D15" s="4"/>
      <c r="E15" s="4"/>
      <c r="F15" s="4"/>
      <c r="G15" s="4"/>
      <c r="H15" s="4"/>
      <c r="I15" s="4"/>
      <c r="J15" s="4"/>
      <c r="K15" s="4"/>
      <c r="L15" s="4"/>
      <c r="M15" s="4"/>
      <c r="N15" s="4"/>
      <c r="O15" s="4"/>
      <c r="P15" s="4"/>
      <c r="Q15" s="4"/>
    </row>
    <row r="16" spans="1:17" x14ac:dyDescent="0.25">
      <c r="A16" s="4"/>
      <c r="B16" s="4"/>
      <c r="C16" s="4"/>
      <c r="D16" s="4"/>
      <c r="E16" s="4"/>
      <c r="F16" s="4"/>
      <c r="G16" s="4"/>
      <c r="H16" s="4"/>
      <c r="I16" s="4"/>
      <c r="J16" s="4"/>
      <c r="K16" s="4"/>
      <c r="L16" s="4"/>
      <c r="M16" s="4"/>
      <c r="N16" s="4"/>
      <c r="O16" s="4"/>
      <c r="P16" s="4"/>
      <c r="Q16" s="4"/>
    </row>
    <row r="17" spans="1:17" x14ac:dyDescent="0.25">
      <c r="A17" s="4"/>
      <c r="B17" s="4"/>
      <c r="C17" s="4"/>
      <c r="D17" s="4"/>
      <c r="E17" s="4"/>
      <c r="F17" s="4"/>
      <c r="G17" s="4"/>
      <c r="H17" s="4"/>
      <c r="I17" s="4"/>
      <c r="J17" s="4"/>
      <c r="K17" s="4"/>
      <c r="L17" s="4"/>
      <c r="M17" s="4"/>
      <c r="N17" s="4"/>
      <c r="O17" s="4"/>
      <c r="P17" s="4"/>
      <c r="Q17" s="4"/>
    </row>
    <row r="18" spans="1:17" x14ac:dyDescent="0.25">
      <c r="A18" s="4"/>
      <c r="B18" s="4"/>
      <c r="C18" s="4"/>
      <c r="D18" s="4"/>
      <c r="E18" s="4"/>
      <c r="F18" s="4"/>
      <c r="G18" s="4"/>
      <c r="H18" s="4"/>
      <c r="I18" s="4"/>
      <c r="J18" s="4"/>
      <c r="K18" s="4"/>
      <c r="L18" s="4"/>
      <c r="M18" s="4"/>
      <c r="N18" s="4"/>
      <c r="O18" s="4"/>
      <c r="P18" s="4"/>
      <c r="Q18" s="4"/>
    </row>
    <row r="19" spans="1:17" x14ac:dyDescent="0.25">
      <c r="A19" s="4"/>
      <c r="B19" s="4"/>
      <c r="C19" s="4"/>
      <c r="D19" s="4"/>
      <c r="E19" s="4"/>
      <c r="F19" s="4"/>
      <c r="G19" s="4"/>
      <c r="H19" s="4"/>
      <c r="I19" s="4"/>
      <c r="J19" s="4"/>
      <c r="K19" s="4"/>
      <c r="L19" s="4"/>
      <c r="M19" s="4"/>
      <c r="N19" s="4"/>
      <c r="O19" s="4"/>
      <c r="P19" s="4"/>
      <c r="Q19" s="4"/>
    </row>
    <row r="20" spans="1:17" x14ac:dyDescent="0.25">
      <c r="A20" s="4"/>
      <c r="B20" s="4"/>
      <c r="C20" s="4"/>
      <c r="D20" s="4"/>
      <c r="E20" s="4"/>
      <c r="F20" s="4"/>
      <c r="G20" s="4"/>
      <c r="H20" s="4"/>
      <c r="I20" s="4"/>
      <c r="J20" s="4"/>
      <c r="K20" s="4"/>
      <c r="L20" s="4"/>
      <c r="M20" s="4"/>
      <c r="N20" s="4"/>
      <c r="O20" s="4"/>
      <c r="P20" s="4"/>
      <c r="Q20" s="4"/>
    </row>
    <row r="21" spans="1:17" x14ac:dyDescent="0.25">
      <c r="A21" s="4"/>
      <c r="B21" s="4"/>
      <c r="C21" s="4"/>
      <c r="D21" s="4"/>
      <c r="E21" s="4"/>
      <c r="F21" s="4"/>
      <c r="G21" s="4"/>
      <c r="H21" s="4"/>
      <c r="I21" s="4"/>
      <c r="J21" s="4"/>
      <c r="K21" s="4"/>
      <c r="L21" s="4"/>
      <c r="M21" s="4"/>
      <c r="N21" s="4"/>
      <c r="O21" s="4"/>
      <c r="P21" s="4"/>
      <c r="Q21" s="4"/>
    </row>
    <row r="22" spans="1:17" x14ac:dyDescent="0.25">
      <c r="A22" s="4"/>
      <c r="B22" s="4"/>
      <c r="C22" s="4"/>
      <c r="D22" s="4"/>
      <c r="E22" s="4"/>
      <c r="F22" s="4"/>
      <c r="G22" s="4"/>
      <c r="H22" s="4"/>
      <c r="I22" s="4"/>
      <c r="J22" s="4"/>
      <c r="K22" s="4"/>
      <c r="L22" s="4"/>
      <c r="M22" s="4"/>
      <c r="N22" s="4"/>
      <c r="O22" s="4"/>
      <c r="P22" s="4"/>
      <c r="Q22" s="4"/>
    </row>
    <row r="23" spans="1:17" x14ac:dyDescent="0.25">
      <c r="A23" s="4"/>
      <c r="B23" s="4"/>
      <c r="C23" s="4"/>
      <c r="D23" s="4"/>
      <c r="E23" s="4"/>
      <c r="F23" s="4"/>
      <c r="G23" s="4"/>
      <c r="H23" s="4"/>
      <c r="I23" s="4"/>
      <c r="J23" s="4"/>
      <c r="K23" s="4"/>
      <c r="L23" s="4"/>
      <c r="M23" s="4"/>
      <c r="N23" s="4"/>
      <c r="O23" s="4"/>
      <c r="P23" s="4"/>
      <c r="Q23" s="4"/>
    </row>
    <row r="24" spans="1:17" x14ac:dyDescent="0.25">
      <c r="A24" s="4"/>
      <c r="B24" s="4"/>
      <c r="C24" s="4"/>
      <c r="D24" s="4"/>
      <c r="E24" s="4"/>
      <c r="F24" s="4"/>
      <c r="G24" s="4"/>
      <c r="H24" s="4"/>
      <c r="I24" s="4"/>
      <c r="J24" s="4"/>
      <c r="K24" s="4"/>
      <c r="L24" s="4"/>
      <c r="M24" s="4"/>
      <c r="N24" s="4"/>
      <c r="O24" s="4"/>
      <c r="P24" s="4"/>
      <c r="Q24" s="4"/>
    </row>
    <row r="25" spans="1:17" x14ac:dyDescent="0.25">
      <c r="A25" s="4"/>
      <c r="B25" s="4"/>
      <c r="C25" s="4"/>
      <c r="D25" s="4"/>
      <c r="E25" s="4"/>
      <c r="F25" s="4"/>
      <c r="G25" s="4"/>
      <c r="H25" s="4"/>
      <c r="I25" s="4"/>
      <c r="J25" s="4"/>
      <c r="K25" s="4"/>
      <c r="L25" s="4"/>
      <c r="M25" s="4"/>
      <c r="N25" s="4"/>
      <c r="O25" s="4"/>
      <c r="P25" s="4"/>
      <c r="Q25" s="4"/>
    </row>
    <row r="26" spans="1:17" x14ac:dyDescent="0.25">
      <c r="A26" s="4"/>
      <c r="B26" s="4"/>
      <c r="C26" s="4"/>
      <c r="D26" s="4"/>
      <c r="E26" s="4"/>
      <c r="F26" s="4"/>
      <c r="G26" s="4"/>
      <c r="H26" s="4"/>
      <c r="I26" s="4"/>
      <c r="J26" s="4"/>
      <c r="K26" s="4"/>
      <c r="L26" s="4"/>
      <c r="M26" s="4"/>
      <c r="N26" s="4"/>
      <c r="O26" s="4"/>
      <c r="P26" s="4"/>
      <c r="Q26" s="4"/>
    </row>
    <row r="27" spans="1:17" x14ac:dyDescent="0.25">
      <c r="A27" s="4"/>
      <c r="B27" s="4"/>
      <c r="C27" s="4"/>
      <c r="D27" s="4"/>
      <c r="E27" s="4"/>
      <c r="F27" s="4"/>
      <c r="G27" s="4"/>
      <c r="H27" s="4"/>
      <c r="I27" s="4"/>
      <c r="J27" s="4"/>
      <c r="K27" s="4"/>
      <c r="L27" s="4"/>
      <c r="M27" s="4"/>
      <c r="N27" s="4"/>
      <c r="O27" s="4"/>
      <c r="P27" s="4"/>
      <c r="Q27" s="4"/>
    </row>
    <row r="28" spans="1:17" x14ac:dyDescent="0.25">
      <c r="A28" s="4"/>
      <c r="B28" s="4"/>
      <c r="C28" s="4"/>
      <c r="D28" s="4"/>
      <c r="E28" s="4"/>
      <c r="F28" s="4"/>
      <c r="G28" s="4"/>
      <c r="H28" s="4"/>
      <c r="I28" s="4"/>
      <c r="J28" s="4"/>
      <c r="K28" s="4"/>
      <c r="L28" s="4"/>
      <c r="M28" s="4"/>
      <c r="N28" s="4"/>
      <c r="O28" s="4"/>
      <c r="P28" s="4"/>
      <c r="Q28" s="4"/>
    </row>
    <row r="29" spans="1:17" x14ac:dyDescent="0.25">
      <c r="A29" s="4"/>
      <c r="B29" s="4"/>
      <c r="C29" s="4"/>
      <c r="D29" s="4"/>
      <c r="E29" s="4"/>
      <c r="F29" s="4"/>
      <c r="G29" s="4"/>
      <c r="H29" s="4"/>
      <c r="I29" s="4"/>
      <c r="J29" s="4"/>
      <c r="K29" s="4"/>
      <c r="L29" s="4"/>
      <c r="M29" s="4"/>
      <c r="N29" s="4"/>
      <c r="O29" s="4"/>
      <c r="P29" s="4"/>
      <c r="Q29" s="4"/>
    </row>
  </sheetData>
  <conditionalFormatting sqref="B2:B14">
    <cfRule type="containsBlanks" dxfId="3" priority="1" stopIfTrue="1">
      <formula>LEN(TRIM(B2))=0</formula>
    </cfRule>
    <cfRule type="cellIs" dxfId="2" priority="2" operator="lessThanOrEqual">
      <formula>0.645</formula>
    </cfRule>
    <cfRule type="cellIs" dxfId="1" priority="3" operator="between">
      <formula>0.645</formula>
      <formula>0.745</formula>
    </cfRule>
    <cfRule type="cellIs" dxfId="0" priority="5" operator="greaterThanOrEqual">
      <formula>0.745</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4"/>
  <dimension ref="A1:K35"/>
  <sheetViews>
    <sheetView workbookViewId="0">
      <selection activeCell="A15" sqref="A15"/>
    </sheetView>
  </sheetViews>
  <sheetFormatPr defaultRowHeight="15" x14ac:dyDescent="0.25"/>
  <cols>
    <col min="1" max="1" width="63.28515625" customWidth="1"/>
  </cols>
  <sheetData>
    <row r="1" spans="1:11" ht="20.25" thickBot="1" x14ac:dyDescent="0.35">
      <c r="A1" s="3" t="s">
        <v>72</v>
      </c>
      <c r="B1" s="4"/>
      <c r="C1" s="4"/>
      <c r="D1" s="4"/>
      <c r="E1" s="4"/>
      <c r="F1" s="4"/>
      <c r="G1" s="4"/>
      <c r="H1" s="4"/>
      <c r="I1" s="4"/>
      <c r="J1" s="4"/>
      <c r="K1" s="4"/>
    </row>
    <row r="2" spans="1:11" ht="15.75" thickTop="1" x14ac:dyDescent="0.25">
      <c r="A2" s="4"/>
      <c r="B2" s="4"/>
      <c r="C2" s="4"/>
      <c r="D2" s="4"/>
      <c r="E2" s="4"/>
      <c r="F2" s="4"/>
      <c r="G2" s="4"/>
      <c r="H2" s="4"/>
      <c r="I2" s="4"/>
      <c r="J2" s="4"/>
      <c r="K2" s="4"/>
    </row>
    <row r="3" spans="1:11" ht="18" thickBot="1" x14ac:dyDescent="0.35">
      <c r="A3" s="2" t="s">
        <v>71</v>
      </c>
      <c r="B3" s="4"/>
      <c r="C3" s="4"/>
      <c r="D3" s="4"/>
      <c r="E3" s="4"/>
      <c r="F3" s="4"/>
      <c r="G3" s="4"/>
      <c r="H3" s="4"/>
      <c r="I3" s="4"/>
      <c r="J3" s="4"/>
      <c r="K3" s="4"/>
    </row>
    <row r="4" spans="1:11" ht="15.75" thickTop="1" x14ac:dyDescent="0.25">
      <c r="A4" s="4" t="s">
        <v>75</v>
      </c>
      <c r="B4" s="4"/>
      <c r="C4" s="4"/>
      <c r="D4" s="4"/>
      <c r="E4" s="4"/>
      <c r="F4" s="4"/>
      <c r="G4" s="4"/>
      <c r="H4" s="4"/>
      <c r="I4" s="4"/>
      <c r="J4" s="4"/>
      <c r="K4" s="4"/>
    </row>
    <row r="5" spans="1:11" x14ac:dyDescent="0.25">
      <c r="A5" s="4" t="s">
        <v>76</v>
      </c>
      <c r="B5" s="4"/>
      <c r="C5" s="4"/>
      <c r="D5" s="4"/>
      <c r="E5" s="4"/>
      <c r="F5" s="4"/>
      <c r="G5" s="4"/>
      <c r="H5" s="4"/>
      <c r="I5" s="4"/>
      <c r="J5" s="4"/>
      <c r="K5" s="4"/>
    </row>
    <row r="6" spans="1:11" x14ac:dyDescent="0.25">
      <c r="A6" s="4" t="s">
        <v>77</v>
      </c>
      <c r="B6" s="4"/>
      <c r="C6" s="4"/>
      <c r="D6" s="4"/>
      <c r="E6" s="4"/>
      <c r="F6" s="4"/>
      <c r="G6" s="4"/>
      <c r="H6" s="4"/>
      <c r="I6" s="4"/>
      <c r="J6" s="4"/>
      <c r="K6" s="4"/>
    </row>
    <row r="7" spans="1:11" x14ac:dyDescent="0.25">
      <c r="A7" s="4"/>
      <c r="B7" s="4"/>
      <c r="C7" s="4"/>
      <c r="D7" s="4"/>
      <c r="E7" s="4"/>
      <c r="F7" s="4"/>
      <c r="G7" s="4"/>
      <c r="H7" s="4"/>
      <c r="I7" s="4"/>
      <c r="J7" s="4"/>
      <c r="K7" s="4"/>
    </row>
    <row r="8" spans="1:11" ht="18" thickBot="1" x14ac:dyDescent="0.35">
      <c r="A8" s="2" t="s">
        <v>74</v>
      </c>
      <c r="B8" s="4"/>
      <c r="C8" s="4"/>
      <c r="D8" s="4"/>
      <c r="E8" s="4"/>
      <c r="F8" s="4"/>
      <c r="G8" s="4"/>
      <c r="H8" s="4"/>
      <c r="I8" s="4"/>
      <c r="J8" s="4"/>
      <c r="K8" s="4"/>
    </row>
    <row r="9" spans="1:11" ht="15.75" thickTop="1" x14ac:dyDescent="0.25">
      <c r="A9" s="4" t="s">
        <v>78</v>
      </c>
      <c r="B9" s="4"/>
      <c r="C9" s="4"/>
      <c r="D9" s="4"/>
      <c r="E9" s="4"/>
      <c r="F9" s="4"/>
      <c r="G9" s="4"/>
      <c r="H9" s="4"/>
      <c r="I9" s="4"/>
      <c r="J9" s="4"/>
      <c r="K9" s="4"/>
    </row>
    <row r="10" spans="1:11" x14ac:dyDescent="0.25">
      <c r="A10" s="4" t="s">
        <v>79</v>
      </c>
      <c r="B10" s="4"/>
      <c r="C10" s="4"/>
      <c r="D10" s="4"/>
      <c r="E10" s="4"/>
      <c r="F10" s="4"/>
      <c r="G10" s="4"/>
      <c r="H10" s="4"/>
      <c r="I10" s="4"/>
      <c r="J10" s="4"/>
      <c r="K10" s="4"/>
    </row>
    <row r="11" spans="1:11" x14ac:dyDescent="0.25">
      <c r="A11" s="4" t="s">
        <v>80</v>
      </c>
      <c r="B11" s="4"/>
      <c r="C11" s="4"/>
      <c r="D11" s="4"/>
      <c r="E11" s="4"/>
      <c r="F11" s="4"/>
      <c r="G11" s="4"/>
      <c r="H11" s="4"/>
      <c r="I11" s="4"/>
      <c r="J11" s="4"/>
      <c r="K11" s="4"/>
    </row>
    <row r="12" spans="1:11" x14ac:dyDescent="0.25">
      <c r="B12" s="4"/>
      <c r="C12" s="4"/>
      <c r="D12" s="4"/>
      <c r="E12" s="4"/>
      <c r="F12" s="4"/>
      <c r="G12" s="4"/>
      <c r="H12" s="4"/>
      <c r="I12" s="4"/>
      <c r="J12" s="4"/>
      <c r="K12" s="4"/>
    </row>
    <row r="13" spans="1:11" x14ac:dyDescent="0.25">
      <c r="A13" s="4"/>
      <c r="B13" s="4"/>
      <c r="C13" s="4"/>
      <c r="D13" s="4"/>
      <c r="E13" s="4"/>
      <c r="F13" s="4"/>
      <c r="G13" s="4"/>
      <c r="H13" s="4"/>
      <c r="I13" s="4"/>
      <c r="J13" s="4"/>
      <c r="K13" s="4"/>
    </row>
    <row r="14" spans="1:11" x14ac:dyDescent="0.25">
      <c r="A14" s="4"/>
      <c r="B14" s="4"/>
      <c r="C14" s="4"/>
      <c r="D14" s="4"/>
      <c r="E14" s="4"/>
      <c r="F14" s="4"/>
      <c r="G14" s="4"/>
      <c r="H14" s="4"/>
      <c r="I14" s="4"/>
      <c r="J14" s="4"/>
      <c r="K14" s="4"/>
    </row>
    <row r="15" spans="1:11" x14ac:dyDescent="0.25">
      <c r="A15" s="4"/>
      <c r="B15" s="4"/>
      <c r="C15" s="4"/>
      <c r="D15" s="4"/>
      <c r="E15" s="4"/>
      <c r="F15" s="4"/>
      <c r="G15" s="4"/>
      <c r="H15" s="4"/>
      <c r="I15" s="4"/>
      <c r="J15" s="4"/>
      <c r="K15" s="4"/>
    </row>
    <row r="16" spans="1:11" x14ac:dyDescent="0.25">
      <c r="A16" s="4"/>
      <c r="B16" s="4"/>
      <c r="C16" s="4"/>
      <c r="D16" s="4"/>
      <c r="E16" s="4"/>
      <c r="F16" s="4"/>
      <c r="G16" s="4"/>
      <c r="H16" s="4"/>
      <c r="I16" s="4"/>
      <c r="J16" s="4"/>
      <c r="K16" s="4"/>
    </row>
    <row r="17" spans="1:11" x14ac:dyDescent="0.25">
      <c r="A17" s="4"/>
      <c r="B17" s="4"/>
      <c r="C17" s="4"/>
      <c r="D17" s="4"/>
      <c r="E17" s="4"/>
      <c r="F17" s="4"/>
      <c r="G17" s="4"/>
      <c r="H17" s="4"/>
      <c r="I17" s="4"/>
      <c r="J17" s="4"/>
      <c r="K17" s="4"/>
    </row>
    <row r="18" spans="1:11" x14ac:dyDescent="0.25">
      <c r="A18" s="4"/>
      <c r="B18" s="4"/>
      <c r="C18" s="4"/>
      <c r="D18" s="4"/>
      <c r="E18" s="4"/>
      <c r="F18" s="4"/>
      <c r="G18" s="4"/>
      <c r="H18" s="4"/>
      <c r="I18" s="4"/>
      <c r="J18" s="4"/>
      <c r="K18" s="4"/>
    </row>
    <row r="19" spans="1:11" x14ac:dyDescent="0.25">
      <c r="A19" s="4"/>
      <c r="B19" s="4"/>
      <c r="C19" s="4"/>
      <c r="D19" s="4"/>
      <c r="E19" s="4"/>
      <c r="F19" s="4"/>
      <c r="G19" s="4"/>
      <c r="H19" s="4"/>
      <c r="I19" s="4"/>
      <c r="J19" s="4"/>
      <c r="K19" s="4"/>
    </row>
    <row r="20" spans="1:11" x14ac:dyDescent="0.25">
      <c r="A20" s="4"/>
      <c r="B20" s="4"/>
      <c r="C20" s="4"/>
      <c r="D20" s="4"/>
      <c r="E20" s="4"/>
      <c r="F20" s="4"/>
      <c r="G20" s="4"/>
      <c r="H20" s="4"/>
      <c r="I20" s="4"/>
      <c r="J20" s="4"/>
      <c r="K20" s="4"/>
    </row>
    <row r="21" spans="1:11" x14ac:dyDescent="0.25">
      <c r="A21" s="4"/>
      <c r="B21" s="4"/>
      <c r="C21" s="4"/>
      <c r="D21" s="4"/>
      <c r="E21" s="4"/>
      <c r="F21" s="4"/>
      <c r="G21" s="4"/>
      <c r="H21" s="4"/>
      <c r="I21" s="4"/>
      <c r="J21" s="4"/>
      <c r="K21" s="4"/>
    </row>
    <row r="22" spans="1:11" x14ac:dyDescent="0.25">
      <c r="A22" s="4"/>
      <c r="B22" s="4"/>
      <c r="C22" s="4"/>
      <c r="D22" s="4"/>
      <c r="E22" s="4"/>
      <c r="F22" s="4"/>
      <c r="G22" s="4"/>
      <c r="H22" s="4"/>
      <c r="I22" s="4"/>
      <c r="J22" s="4"/>
      <c r="K22" s="4"/>
    </row>
    <row r="23" spans="1:11" x14ac:dyDescent="0.25">
      <c r="A23" s="4"/>
      <c r="B23" s="4"/>
      <c r="C23" s="4"/>
      <c r="D23" s="4"/>
      <c r="E23" s="4"/>
      <c r="F23" s="4"/>
      <c r="G23" s="4"/>
      <c r="H23" s="4"/>
      <c r="I23" s="4"/>
      <c r="J23" s="4"/>
      <c r="K23" s="4"/>
    </row>
    <row r="24" spans="1:11" x14ac:dyDescent="0.25">
      <c r="A24" s="4"/>
      <c r="B24" s="4"/>
      <c r="C24" s="4"/>
      <c r="D24" s="4"/>
      <c r="E24" s="4"/>
      <c r="F24" s="4"/>
      <c r="G24" s="4"/>
      <c r="H24" s="4"/>
      <c r="I24" s="4"/>
      <c r="J24" s="4"/>
      <c r="K24" s="4"/>
    </row>
    <row r="25" spans="1:11" x14ac:dyDescent="0.25">
      <c r="A25" s="4"/>
      <c r="B25" s="4"/>
      <c r="C25" s="4"/>
      <c r="D25" s="4"/>
      <c r="E25" s="4"/>
      <c r="F25" s="4"/>
      <c r="G25" s="4"/>
      <c r="H25" s="4"/>
      <c r="I25" s="4"/>
      <c r="J25" s="4"/>
      <c r="K25" s="4"/>
    </row>
    <row r="26" spans="1:11" x14ac:dyDescent="0.25">
      <c r="A26" s="4"/>
      <c r="B26" s="4"/>
      <c r="C26" s="4"/>
      <c r="D26" s="4"/>
      <c r="E26" s="4"/>
      <c r="F26" s="4"/>
      <c r="G26" s="4"/>
      <c r="H26" s="4"/>
      <c r="I26" s="4"/>
      <c r="J26" s="4"/>
      <c r="K26" s="4"/>
    </row>
    <row r="27" spans="1:11" x14ac:dyDescent="0.25">
      <c r="A27" s="4"/>
      <c r="B27" s="4"/>
      <c r="C27" s="4"/>
      <c r="D27" s="4"/>
      <c r="E27" s="4"/>
      <c r="F27" s="4"/>
      <c r="G27" s="4"/>
      <c r="H27" s="4"/>
      <c r="I27" s="4"/>
      <c r="J27" s="4"/>
      <c r="K27" s="4"/>
    </row>
    <row r="28" spans="1:11" x14ac:dyDescent="0.25">
      <c r="A28" s="4"/>
      <c r="B28" s="4"/>
      <c r="C28" s="4"/>
      <c r="D28" s="4"/>
      <c r="E28" s="4"/>
      <c r="F28" s="4"/>
      <c r="G28" s="4"/>
      <c r="H28" s="4"/>
      <c r="I28" s="4"/>
      <c r="J28" s="4"/>
      <c r="K28" s="4"/>
    </row>
    <row r="29" spans="1:11" x14ac:dyDescent="0.25">
      <c r="A29" s="4"/>
      <c r="B29" s="4"/>
      <c r="C29" s="4"/>
      <c r="D29" s="4"/>
      <c r="E29" s="4"/>
      <c r="F29" s="4"/>
      <c r="G29" s="4"/>
      <c r="H29" s="4"/>
      <c r="I29" s="4"/>
      <c r="J29" s="4"/>
      <c r="K29" s="4"/>
    </row>
    <row r="30" spans="1:11" x14ac:dyDescent="0.25">
      <c r="A30" s="4"/>
      <c r="B30" s="4"/>
      <c r="C30" s="4"/>
      <c r="D30" s="4"/>
      <c r="E30" s="4"/>
      <c r="F30" s="4"/>
      <c r="G30" s="4"/>
      <c r="H30" s="4"/>
      <c r="I30" s="4"/>
      <c r="J30" s="4"/>
      <c r="K30" s="4"/>
    </row>
    <row r="31" spans="1:11" x14ac:dyDescent="0.25">
      <c r="A31" s="4"/>
      <c r="B31" s="4"/>
      <c r="C31" s="4"/>
      <c r="D31" s="4"/>
      <c r="E31" s="4"/>
      <c r="F31" s="4"/>
      <c r="G31" s="4"/>
      <c r="H31" s="4"/>
      <c r="I31" s="4"/>
      <c r="J31" s="4"/>
      <c r="K31" s="4"/>
    </row>
    <row r="32" spans="1:11" x14ac:dyDescent="0.25">
      <c r="A32" s="4"/>
      <c r="B32" s="4"/>
      <c r="C32" s="4"/>
      <c r="D32" s="4"/>
      <c r="E32" s="4"/>
      <c r="F32" s="4"/>
      <c r="G32" s="4"/>
      <c r="H32" s="4"/>
      <c r="I32" s="4"/>
      <c r="J32" s="4"/>
      <c r="K32" s="4"/>
    </row>
    <row r="33" spans="1:11" x14ac:dyDescent="0.25">
      <c r="A33" s="4"/>
      <c r="B33" s="4"/>
      <c r="C33" s="4"/>
      <c r="D33" s="4"/>
      <c r="E33" s="4"/>
      <c r="F33" s="4"/>
      <c r="G33" s="4"/>
      <c r="H33" s="4"/>
      <c r="I33" s="4"/>
      <c r="J33" s="4"/>
      <c r="K33" s="4"/>
    </row>
    <row r="34" spans="1:11" x14ac:dyDescent="0.25">
      <c r="A34" s="4"/>
      <c r="B34" s="4"/>
      <c r="C34" s="4"/>
      <c r="D34" s="4"/>
      <c r="E34" s="4"/>
      <c r="F34" s="4"/>
      <c r="G34" s="4"/>
      <c r="H34" s="4"/>
      <c r="I34" s="4"/>
      <c r="J34" s="4"/>
      <c r="K34" s="4"/>
    </row>
    <row r="35" spans="1:11" x14ac:dyDescent="0.25">
      <c r="B35" s="4"/>
      <c r="C35" s="4"/>
      <c r="D35" s="4"/>
      <c r="E35" s="4"/>
      <c r="F35" s="4"/>
      <c r="G35" s="4"/>
      <c r="H35" s="4"/>
      <c r="I35" s="4"/>
      <c r="J35" s="4"/>
      <c r="K35"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3</vt:i4>
      </vt:variant>
    </vt:vector>
  </HeadingPairs>
  <TitlesOfParts>
    <vt:vector size="3" baseType="lpstr">
      <vt:lpstr>Inkomna svar</vt:lpstr>
      <vt:lpstr>Sammanställning</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Detta är en produkt från KvalitetsDokument.se</dc:creator>
  <cp:lastModifiedBy>Donant Kürtök</cp:lastModifiedBy>
  <dcterms:created xsi:type="dcterms:W3CDTF">2017-05-19T09:30:18Z</dcterms:created>
  <dcterms:modified xsi:type="dcterms:W3CDTF">2025-01-17T10:00:54Z</dcterms:modified>
</cp:coreProperties>
</file>